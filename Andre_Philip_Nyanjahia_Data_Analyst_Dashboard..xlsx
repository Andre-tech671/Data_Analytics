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E:\Data_Analysis_Task\DASHBOARD\"/>
    </mc:Choice>
  </mc:AlternateContent>
  <xr:revisionPtr revIDLastSave="0" documentId="13_ncr:1_{80BD405C-7B89-4716-BC92-AD0EAC6CC04F}" xr6:coauthVersionLast="47" xr6:coauthVersionMax="47" xr10:uidLastSave="{00000000-0000-0000-0000-000000000000}"/>
  <bookViews>
    <workbookView xWindow="-108" yWindow="-108" windowWidth="23256" windowHeight="12456" activeTab="4" xr2:uid="{00000000-000D-0000-FFFF-FFFF00000000}"/>
  </bookViews>
  <sheets>
    <sheet name="RawData" sheetId="1" r:id="rId1"/>
    <sheet name="MasterCharts" sheetId="8" r:id="rId2"/>
    <sheet name="PivotAnalysis" sheetId="9" r:id="rId3"/>
    <sheet name="Summary" sheetId="3" r:id="rId4"/>
    <sheet name="Dashboard" sheetId="4" r:id="rId5"/>
    <sheet name="Series - Metadata" sheetId="2" state="hidden" r:id="rId6"/>
  </sheets>
  <definedNames>
    <definedName name="ExternalData_1" localSheetId="1" hidden="1">MasterCharts!$A$1:$D$253</definedName>
    <definedName name="Slicer_Country_Name">#N/A</definedName>
    <definedName name="Slicer_Series_Nam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9" i="3" l="1"/>
  <c r="H19" i="3"/>
  <c r="B19" i="3"/>
  <c r="C19" i="3"/>
  <c r="D19" i="3"/>
  <c r="E19" i="3"/>
  <c r="F19" i="3"/>
  <c r="G19" i="3"/>
  <c r="A19" i="3"/>
  <c r="C3" i="3"/>
  <c r="C4" i="3"/>
  <c r="C5" i="3"/>
  <c r="C6" i="3"/>
  <c r="C7" i="3"/>
  <c r="C8" i="3"/>
  <c r="C9" i="3"/>
  <c r="A8" i="4" s="1"/>
  <c r="C10" i="3"/>
  <c r="C11" i="3"/>
  <c r="C12" i="3"/>
  <c r="C13" i="3"/>
  <c r="C14" i="3"/>
  <c r="C15" i="3"/>
  <c r="B3" i="3"/>
  <c r="A5" i="4" s="1"/>
  <c r="B4" i="3"/>
  <c r="B5" i="3"/>
  <c r="B6" i="3"/>
  <c r="B7" i="3"/>
  <c r="B8" i="3"/>
  <c r="B9" i="3"/>
  <c r="B10" i="3"/>
  <c r="B11" i="3"/>
  <c r="B12" i="3"/>
  <c r="B13" i="3"/>
  <c r="B14" i="3"/>
  <c r="B15" i="3"/>
  <c r="C2" i="3"/>
  <c r="B2" i="3"/>
  <c r="A11"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89ED33-8E2E-4757-92D6-4DD4087009D5}" keepAlive="1" name="Query - Table1(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<sst xmlns="http://schemas.openxmlformats.org/spreadsheetml/2006/main" count="919" uniqueCount="86">
  <si>
    <t>Development relevance</t>
  </si>
  <si>
    <t>Individuals using the Internet (% of population)</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</si>
  <si>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</si>
  <si>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</si>
  <si>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Aggregation method</t>
  </si>
  <si>
    <t>Unemployment, youth total (% of total labor force ages 15-24) (modeled ILO estimate)</t>
  </si>
  <si>
    <t>Ethiopia</t>
  </si>
  <si>
    <t>Social Protection &amp; Labor: Unemployment</t>
  </si>
  <si>
    <t>Uganda</t>
  </si>
  <si>
    <t>Please cite the International Telecommunication Union for third-party use of these data.</t>
  </si>
  <si>
    <t>2018 [YR2018]</t>
  </si>
  <si>
    <t>Data from database: World Development Indicators</t>
  </si>
  <si>
    <t>Code</t>
  </si>
  <si>
    <t>Mozambique</t>
  </si>
  <si>
    <t>Weighted average</t>
  </si>
  <si>
    <t>Internet users are individuals who have used the Internet (from any location) in the last 3 months. The Internet can be used via a computer, mobile phone, personal digital assistant, games machine, digital TV etc.</t>
  </si>
  <si>
    <t>Rwanda</t>
  </si>
  <si>
    <t>Dataset</t>
  </si>
  <si>
    <t>Annual</t>
  </si>
  <si>
    <t>Zambia</t>
  </si>
  <si>
    <t>Kenya</t>
  </si>
  <si>
    <t>IT.NET.USER.ZS</t>
  </si>
  <si>
    <t>2017 [YR2017]</t>
  </si>
  <si>
    <t>Country Name</t>
  </si>
  <si>
    <t>Reference period</t>
  </si>
  <si>
    <t>ILO Modelled Estimates database (ILOEST), International Labour Organization (ILO), uri: https://ilostat.ilo.org/data/bulk/, publisher: ILOSTAT, type: external database, date accessed: January 17, 2026</t>
  </si>
  <si>
    <t>Last Updated: 07/13/2026</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</si>
  <si>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t>
  </si>
  <si>
    <t>National estimates are also available in the WDI database. Caution should be used when comparing ILO estimates with national estimates.</t>
  </si>
  <si>
    <t>2016 [YR2016]</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</si>
  <si>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
Statistical concept(s): The number of in-scope individuals using the Internet is calculated by aggregating the weighted responses. The proportion of individuals using the Internet is expressed as a percentage and is calculated by dividing the total number of in-scope individuals using the Internet by the total number of in-scope individuals, and then multiplying the result by 100.</t>
  </si>
  <si>
    <t>Limitations and exceptions</t>
  </si>
  <si>
    <t>Ghana</t>
  </si>
  <si>
    <t>WB_WDI</t>
  </si>
  <si>
    <t>Nigeria</t>
  </si>
  <si>
    <t>License Type</t>
  </si>
  <si>
    <t>Cote d'Ivoire</t>
  </si>
  <si>
    <t>1991-2025</t>
  </si>
  <si>
    <t>Malawi</t>
  </si>
  <si>
    <t>2021 [YR2021]</t>
  </si>
  <si>
    <t>CC BY-4.0</t>
  </si>
  <si>
    <t>Topic</t>
  </si>
  <si>
    <t>1990-2025</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</si>
  <si>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</si>
  <si>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2020 [YR2020]</t>
  </si>
  <si>
    <t>Senegal</t>
  </si>
  <si>
    <t>Long definition</t>
  </si>
  <si>
    <t>Periodicity</t>
  </si>
  <si>
    <t>Tanzania</t>
  </si>
  <si>
    <t>Youth unemployment refers to the share of the labor force ages 15-24 without work but available for and seeking employment.</t>
  </si>
  <si>
    <t>2019 [YR2019]</t>
  </si>
  <si>
    <t>Statistical concept and methodology</t>
  </si>
  <si>
    <t>Infrastructure: Communications</t>
  </si>
  <si>
    <t>2015 [YR2015]</t>
  </si>
  <si>
    <t>License URL</t>
  </si>
  <si>
    <t>Source</t>
  </si>
  <si>
    <t>Series Name</t>
  </si>
  <si>
    <t>SL.UEM.1524.ZS</t>
  </si>
  <si>
    <t>Cameroon</t>
  </si>
  <si>
    <t>Unit of measure</t>
  </si>
  <si>
    <t>Other notes</t>
  </si>
  <si>
    <t>https://datacatalog.worldbank.org/int/public-licenses#cc-by</t>
  </si>
  <si>
    <t>2023 [YR2023]</t>
  </si>
  <si>
    <t>Egypt, Arab Rep.</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</si>
  <si>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</si>
  <si>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Indicator Name</t>
  </si>
  <si>
    <t>World Telecommunication/ICT Indicators Database, International Telecommunication Union (ITU), uri: https://datahub.itu.int/</t>
  </si>
  <si>
    <t>% of population</t>
  </si>
  <si>
    <t>% of total labor force ages 15-24</t>
  </si>
  <si>
    <t>2022 [YR2022]</t>
  </si>
  <si>
    <t>Country</t>
  </si>
  <si>
    <t>Internet Users (2023</t>
  </si>
  <si>
    <t>Youth Unemployement  2023</t>
  </si>
  <si>
    <t>Average Youth Unemployment</t>
  </si>
  <si>
    <t>Average Internet Users</t>
  </si>
  <si>
    <t>Highest Youth Unemployment</t>
  </si>
  <si>
    <t>Row Labels</t>
  </si>
  <si>
    <t>Grand Total</t>
  </si>
  <si>
    <t>Column Labels</t>
  </si>
  <si>
    <t>Attribute</t>
  </si>
  <si>
    <t>Value</t>
  </si>
  <si>
    <t>Average of Value</t>
  </si>
  <si>
    <t>Youth Employment &amp; Digital Access in Africa (2023)</t>
  </si>
  <si>
    <t xml:space="preserve">2023 YOUTH UNEMPLOYEMENT TRENDS IN AFRICA STATIC CHART ANALYSIS </t>
  </si>
  <si>
    <t>YOUTH UNEMPLOYEMENT VS INTERNET USAGE 2023</t>
  </si>
  <si>
    <t>OVERALL YOUTH UNPLOYEMENT TRENDS IN AFRICA LIVE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</si>
</sst>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sz val="8"/>
      <color rgb="FF0F1115"/>
      <name val="Consolas"/>
      <family val="3"/>
    </font>
    <font>
      <b/>
      <sz val="14"/>
      <color theme="0"/>
      <name val="Consolas"/>
      <family val="3"/>
    </font>
    <font>
      <b/>
      <sz val="12"/>
      <color theme="3"/>
      <name val="Consolas"/>
      <family val="3"/>
    </font>
    <font>
      <b/>
      <sz val="12"/>
      <color theme="0"/>
      <name val="Consolas"/>
      <family val="3"/>
    </font>
    <font>
      <b/>
      <sz val="12"/>
      <color theme="1"/>
      <name val="Consolas"/>
      <family val="3"/>
    </font>
    <font>
      <b/>
      <sz val="14"/>
      <color theme="0"/>
      <name val="Segoe UI"/>
      <family val="2"/>
    </font>
    <font>
      <sz val="14"/>
      <color theme="0"/>
      <name val="Segoe UI"/>
      <family val="2"/>
    </font>
    <font>
      <b/>
      <sz val="14"/>
      <color theme="1"/>
      <name val="Consolas"/>
      <family val="3"/>
    </font>
    <font>
      <sz val="11"/>
      <color theme="2" tint="-0.749992370372631"/>
      <name val="Calibri"/>
      <family val="2"/>
      <scheme val="minor"/>
    </font>
    <font>
      <b/>
      <sz val="20"/>
      <color theme="0"/>
      <name val="Calibri"/>
      <family val="2"/>
      <scheme val="minor"/>
    </font>
  </fonts>
  <fills count="7">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theme="2"/>
        <bgColor indexed="64"/>
      </patternFill>
    </fill>
    <fill>
      <patternFill patternType="solid">
        <fgColor theme="1" tint="0.249977111117893"/>
        <bgColor indexed="64"/>
      </patternFill>
    </fill>
    <fill>
      <patternFill patternType="solid">
        <fgColor theme="0" tint="-0.34998626667073579"/>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0" fillId="3" borderId="0" xfId="0" applyFill="1"/>
    <xf numFmtId="0" fontId="0" fillId="0" borderId="0" xfId="0" pivotButton="1"/>
    <xf numFmtId="0" fontId="0" fillId="0" borderId="0" xfId="0" applyAlignment="1">
      <alignment horizontal="left"/>
    </xf>
    <xf numFmtId="164" fontId="0" fillId="0" borderId="0" xfId="0" applyNumberFormat="1"/>
    <xf numFmtId="0" fontId="4" fillId="3" borderId="0" xfId="0" applyFont="1" applyFill="1"/>
    <xf numFmtId="0" fontId="0" fillId="4" borderId="0" xfId="0" applyFill="1"/>
    <xf numFmtId="0" fontId="4" fillId="5" borderId="0" xfId="0" applyFont="1" applyFill="1"/>
    <xf numFmtId="0" fontId="3" fillId="5" borderId="0" xfId="0" applyFont="1" applyFill="1"/>
    <xf numFmtId="0" fontId="2" fillId="5" borderId="0" xfId="0" applyFont="1" applyFill="1"/>
    <xf numFmtId="0" fontId="8" fillId="3" borderId="0" xfId="0" applyFont="1" applyFill="1"/>
    <xf numFmtId="0" fontId="5" fillId="3" borderId="0" xfId="0" applyFont="1" applyFill="1"/>
    <xf numFmtId="0" fontId="9" fillId="6" borderId="0" xfId="0" applyFont="1" applyFill="1"/>
    <xf numFmtId="0" fontId="0" fillId="6" borderId="0" xfId="0" applyFill="1"/>
    <xf numFmtId="0" fontId="7" fillId="6" borderId="0" xfId="0" applyFont="1" applyFill="1" applyAlignment="1">
      <alignment vertical="center"/>
    </xf>
    <xf numFmtId="0" fontId="10" fillId="2" borderId="0" xfId="0" applyFont="1" applyFill="1" applyAlignment="1">
      <alignment horizontal="center" vertical="center"/>
    </xf>
    <xf numFmtId="0" fontId="6" fillId="6" borderId="0" xfId="0" applyFont="1" applyFill="1" applyAlignment="1">
      <alignment horizontal="center" vertical="center"/>
    </xf>
    <xf numFmtId="0" fontId="7" fillId="6" borderId="0" xfId="0" applyFont="1" applyFill="1" applyAlignment="1">
      <alignment horizontal="center" vertical="center"/>
    </xf>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[Andre_Philip_Nyanjahia_Dataset (version 1).xlsx]PivotAnalysis!PivotTable3</c:name>
    <c:fmtId val="0"/>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PivotAnalysis!$B$3:$B$4</c:f>
              <c:strCache>
                <c:ptCount val="1"/>
                <c:pt idx="0">
                  <c:v>Individuals using the Internet (% of population)</c:v>
                </c:pt>
              </c:strCache>
            </c:strRef>
          </c:tx>
          <c:spPr>
            <a:ln w="28575" cap="rnd">
              <a:solidFill>
                <a:schemeClr val="accent1"/>
              </a:solidFill>
              <a:round/>
            </a:ln>
            <a:effectLst/>
          </c:spPr>
          <c:marker>
            <c:symbol val="none"/>
          </c:marker>
          <c:cat>
            <c:strRef>
              <c:f>PivotAnalysis!$A$5:$A$14</c:f>
              <c:strCache>
                <c:ptCount val="9"/>
                <c:pt idx="0">
                  <c:v>2015 [YR2015]</c:v>
                </c:pt>
                <c:pt idx="1">
                  <c:v>2016 [YR2016]</c:v>
                </c:pt>
                <c:pt idx="2">
                  <c:v>2017 [YR2017]</c:v>
                </c:pt>
                <c:pt idx="3">
                  <c:v>2018 [YR2018]</c:v>
                </c:pt>
                <c:pt idx="4">
                  <c:v>2019 [YR2019]</c:v>
                </c:pt>
                <c:pt idx="5">
                  <c:v>2020 [YR2020]</c:v>
                </c:pt>
                <c:pt idx="6">
                  <c:v>2021 [YR2021]</c:v>
                </c:pt>
                <c:pt idx="7">
                  <c:v>2022 [YR2022]</c:v>
                </c:pt>
                <c:pt idx="8">
                  <c:v>2023 [YR2023]</c:v>
                </c:pt>
              </c:strCache>
            </c:strRef>
          </c:cat>
          <c:val>
            <c:numRef>
              <c:f>PivotAnalysis!$B$5:$B$14</c:f>
              <c:numCache>
                <c:formatCode>0.0</c:formatCode>
                <c:ptCount val="9"/>
                <c:pt idx="0">
                  <c:v>21.700000760000002</c:v>
                </c:pt>
                <c:pt idx="1">
                  <c:v>25.664800639999999</c:v>
                </c:pt>
                <c:pt idx="2">
                  <c:v>29.643100740000001</c:v>
                </c:pt>
                <c:pt idx="3">
                  <c:v>35.299999239999998</c:v>
                </c:pt>
                <c:pt idx="4">
                  <c:v>43.379699709999997</c:v>
                </c:pt>
                <c:pt idx="5">
                  <c:v>53.308799739999998</c:v>
                </c:pt>
                <c:pt idx="6">
                  <c:v>55.040401459999998</c:v>
                </c:pt>
                <c:pt idx="7">
                  <c:v>56.828300480000003</c:v>
                </c:pt>
                <c:pt idx="8">
                  <c:v>59.187400820000001</c:v>
                </c:pt>
              </c:numCache>
            </c:numRef>
          </c:val>
          <c:smooth val="0"/>
          <c:extLst>
            <c:ext xmlns:c16="http://schemas.microsoft.com/office/drawing/2014/chart" uri="{C3380CC4-5D6E-409C-BE32-E72D297353CC}">
              <c16:uniqueId val="{00000000-F854-49A3-AC6D-CBDA9BE048C4}"/>
            </c:ext>
          </c:extLst>
        </c:ser>
        <c:ser>
          <c:idx val="1"/>
          <c:order val="1"/>
          <c:tx>
            <c:strRef>
              <c:f>PivotAnalysis!$C$3:$C$4</c:f>
              <c:strCache>
                <c:ptCount val="1"/>
                <c:pt idx="0">
                  <c:v>Unemployment, youth total (% of total labor force ages 15-24) (modeled ILO estimate)</c:v>
                </c:pt>
              </c:strCache>
            </c:strRef>
          </c:tx>
          <c:spPr>
            <a:ln w="28575" cap="rnd">
              <a:solidFill>
                <a:schemeClr val="accent2"/>
              </a:solidFill>
              <a:round/>
            </a:ln>
            <a:effectLst/>
          </c:spPr>
          <c:marker>
            <c:symbol val="none"/>
          </c:marker>
          <c:cat>
            <c:strRef>
              <c:f>PivotAnalysis!$A$5:$A$14</c:f>
              <c:strCache>
                <c:ptCount val="9"/>
                <c:pt idx="0">
                  <c:v>2015 [YR2015]</c:v>
                </c:pt>
                <c:pt idx="1">
                  <c:v>2016 [YR2016]</c:v>
                </c:pt>
                <c:pt idx="2">
                  <c:v>2017 [YR2017]</c:v>
                </c:pt>
                <c:pt idx="3">
                  <c:v>2018 [YR2018]</c:v>
                </c:pt>
                <c:pt idx="4">
                  <c:v>2019 [YR2019]</c:v>
                </c:pt>
                <c:pt idx="5">
                  <c:v>2020 [YR2020]</c:v>
                </c:pt>
                <c:pt idx="6">
                  <c:v>2021 [YR2021]</c:v>
                </c:pt>
                <c:pt idx="7">
                  <c:v>2022 [YR2022]</c:v>
                </c:pt>
                <c:pt idx="8">
                  <c:v>2023 [YR2023]</c:v>
                </c:pt>
              </c:strCache>
            </c:strRef>
          </c:cat>
          <c:val>
            <c:numRef>
              <c:f>PivotAnalysis!$C$5:$C$14</c:f>
              <c:numCache>
                <c:formatCode>0.0</c:formatCode>
                <c:ptCount val="9"/>
                <c:pt idx="0">
                  <c:v>8.0449999999999999</c:v>
                </c:pt>
                <c:pt idx="1">
                  <c:v>6.3739999999999997</c:v>
                </c:pt>
                <c:pt idx="2">
                  <c:v>5.8360000000000003</c:v>
                </c:pt>
                <c:pt idx="3">
                  <c:v>4.92</c:v>
                </c:pt>
                <c:pt idx="4">
                  <c:v>4.0369999999999999</c:v>
                </c:pt>
                <c:pt idx="5">
                  <c:v>4.8170000000000002</c:v>
                </c:pt>
                <c:pt idx="6">
                  <c:v>4.6609999999999996</c:v>
                </c:pt>
                <c:pt idx="7">
                  <c:v>3.9020000000000001</c:v>
                </c:pt>
                <c:pt idx="8">
                  <c:v>3.859</c:v>
                </c:pt>
              </c:numCache>
            </c:numRef>
          </c:val>
          <c:smooth val="0"/>
          <c:extLst>
            <c:ext xmlns:c16="http://schemas.microsoft.com/office/drawing/2014/chart" uri="{C3380CC4-5D6E-409C-BE32-E72D297353CC}">
              <c16:uniqueId val="{00000001-CC9B-410F-9F1E-12D04904219C}"/>
            </c:ext>
          </c:extLst>
        </c:ser>
        <c:dLbls>
          <c:showLegendKey val="0"/>
          <c:showVal val="0"/>
          <c:showCatName val="0"/>
          <c:showSerName val="0"/>
          <c:showPercent val="0"/>
          <c:showBubbleSize val="0"/>
        </c:dLbls>
        <c:smooth val="0"/>
        <c:axId val="172984687"/>
        <c:axId val="170535311"/>
      </c:lineChart>
      <c:catAx>
        <c:axId val="17298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35311"/>
        <c:crosses val="autoZero"/>
        <c:auto val="1"/>
        <c:lblAlgn val="ctr"/>
        <c:lblOffset val="100"/>
        <c:noMultiLvlLbl val="0"/>
      </c:catAx>
      <c:valAx>
        <c:axId val="17053531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84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[Andre_Philip_Nyanjahia_Dataset (version 1).xlsx]PivotAnalysis!PivotTable3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PivotAnalysis!$B$3:$B$4</c:f>
              <c:strCache>
                <c:ptCount val="1"/>
                <c:pt idx="0">
                  <c:v>Individuals using the Internet (% of population)</c:v>
                </c:pt>
              </c:strCache>
            </c:strRef>
          </c:tx>
          <c:spPr>
            <a:solidFill>
              <a:schemeClr val="accent1"/>
            </a:solidFill>
            <a:ln>
              <a:noFill/>
            </a:ln>
            <a:effectLst/>
          </c:spPr>
          <c:invertIfNegative val="0"/>
          <c:cat>
            <c:strRef>
              <c:f>PivotAnalysis!$A$5:$A$14</c:f>
              <c:strCache>
                <c:ptCount val="9"/>
                <c:pt idx="0">
                  <c:v>2015 [YR2015]</c:v>
                </c:pt>
                <c:pt idx="1">
                  <c:v>2016 [YR2016]</c:v>
                </c:pt>
                <c:pt idx="2">
                  <c:v>2017 [YR2017]</c:v>
                </c:pt>
                <c:pt idx="3">
                  <c:v>2018 [YR2018]</c:v>
                </c:pt>
                <c:pt idx="4">
                  <c:v>2019 [YR2019]</c:v>
                </c:pt>
                <c:pt idx="5">
                  <c:v>2020 [YR2020]</c:v>
                </c:pt>
                <c:pt idx="6">
                  <c:v>2021 [YR2021]</c:v>
                </c:pt>
                <c:pt idx="7">
                  <c:v>2022 [YR2022]</c:v>
                </c:pt>
                <c:pt idx="8">
                  <c:v>2023 [YR2023]</c:v>
                </c:pt>
              </c:strCache>
            </c:strRef>
          </c:cat>
          <c:val>
            <c:numRef>
              <c:f>PivotAnalysis!$B$5:$B$14</c:f>
              <c:numCache>
                <c:formatCode>0.0</c:formatCode>
                <c:ptCount val="9"/>
                <c:pt idx="0">
                  <c:v>21.700000760000002</c:v>
                </c:pt>
                <c:pt idx="1">
                  <c:v>25.664800639999999</c:v>
                </c:pt>
                <c:pt idx="2">
                  <c:v>29.643100740000001</c:v>
                </c:pt>
                <c:pt idx="3">
                  <c:v>35.299999239999998</c:v>
                </c:pt>
                <c:pt idx="4">
                  <c:v>43.379699709999997</c:v>
                </c:pt>
                <c:pt idx="5">
                  <c:v>53.308799739999998</c:v>
                </c:pt>
                <c:pt idx="6">
                  <c:v>55.040401459999998</c:v>
                </c:pt>
                <c:pt idx="7">
                  <c:v>56.828300480000003</c:v>
                </c:pt>
                <c:pt idx="8">
                  <c:v>59.187400820000001</c:v>
                </c:pt>
              </c:numCache>
            </c:numRef>
          </c:val>
          <c:extLst>
            <c:ext xmlns:c16="http://schemas.microsoft.com/office/drawing/2014/chart" uri="{C3380CC4-5D6E-409C-BE32-E72D297353CC}">
              <c16:uniqueId val="{00000000-23DB-4BF7-841C-6EBF6CF13960}"/>
            </c:ext>
          </c:extLst>
        </c:ser>
        <c:ser>
          <c:idx val="1"/>
          <c:order val="1"/>
          <c:tx>
            <c:strRef>
              <c:f>PivotAnalysis!$C$3:$C$4</c:f>
              <c:strCache>
                <c:ptCount val="1"/>
                <c:pt idx="0">
                  <c:v>Unemployment, youth total (% of total labor force ages 15-24) (modeled ILO estimate)</c:v>
                </c:pt>
              </c:strCache>
            </c:strRef>
          </c:tx>
          <c:spPr>
            <a:solidFill>
              <a:schemeClr val="accent2"/>
            </a:solidFill>
            <a:ln>
              <a:noFill/>
            </a:ln>
            <a:effectLst/>
          </c:spPr>
          <c:invertIfNegative val="0"/>
          <c:cat>
            <c:strRef>
              <c:f>PivotAnalysis!$A$5:$A$14</c:f>
              <c:strCache>
                <c:ptCount val="9"/>
                <c:pt idx="0">
                  <c:v>2015 [YR2015]</c:v>
                </c:pt>
                <c:pt idx="1">
                  <c:v>2016 [YR2016]</c:v>
                </c:pt>
                <c:pt idx="2">
                  <c:v>2017 [YR2017]</c:v>
                </c:pt>
                <c:pt idx="3">
                  <c:v>2018 [YR2018]</c:v>
                </c:pt>
                <c:pt idx="4">
                  <c:v>2019 [YR2019]</c:v>
                </c:pt>
                <c:pt idx="5">
                  <c:v>2020 [YR2020]</c:v>
                </c:pt>
                <c:pt idx="6">
                  <c:v>2021 [YR2021]</c:v>
                </c:pt>
                <c:pt idx="7">
                  <c:v>2022 [YR2022]</c:v>
                </c:pt>
                <c:pt idx="8">
                  <c:v>2023 [YR2023]</c:v>
                </c:pt>
              </c:strCache>
            </c:strRef>
          </c:cat>
          <c:val>
            <c:numRef>
              <c:f>PivotAnalysis!$C$5:$C$14</c:f>
              <c:numCache>
                <c:formatCode>0.0</c:formatCode>
                <c:ptCount val="9"/>
                <c:pt idx="0">
                  <c:v>8.0449999999999999</c:v>
                </c:pt>
                <c:pt idx="1">
                  <c:v>6.3739999999999997</c:v>
                </c:pt>
                <c:pt idx="2">
                  <c:v>5.8360000000000003</c:v>
                </c:pt>
                <c:pt idx="3">
                  <c:v>4.92</c:v>
                </c:pt>
                <c:pt idx="4">
                  <c:v>4.0369999999999999</c:v>
                </c:pt>
                <c:pt idx="5">
                  <c:v>4.8170000000000002</c:v>
                </c:pt>
                <c:pt idx="6">
                  <c:v>4.6609999999999996</c:v>
                </c:pt>
                <c:pt idx="7">
                  <c:v>3.9020000000000001</c:v>
                </c:pt>
                <c:pt idx="8">
                  <c:v>3.859</c:v>
                </c:pt>
              </c:numCache>
            </c:numRef>
          </c:val>
          <c:extLst>
            <c:ext xmlns:c16="http://schemas.microsoft.com/office/drawing/2014/chart" uri="{C3380CC4-5D6E-409C-BE32-E72D297353CC}">
              <c16:uniqueId val="{00000001-4636-40E6-9B0D-7EEA0399F4C3}"/>
            </c:ext>
          </c:extLst>
        </c:ser>
        <c:dLbls>
          <c:showLegendKey val="0"/>
          <c:showVal val="0"/>
          <c:showCatName val="0"/>
          <c:showSerName val="0"/>
          <c:showPercent val="0"/>
          <c:showBubbleSize val="0"/>
        </c:dLbls>
        <c:gapWidth val="219"/>
        <c:overlap val="-27"/>
        <c:axId val="864862879"/>
        <c:axId val="170490671"/>
      </c:barChart>
      <c:catAx>
        <c:axId val="86486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90671"/>
        <c:crosses val="autoZero"/>
        <c:auto val="1"/>
        <c:lblAlgn val="ctr"/>
        <c:lblOffset val="100"/>
        <c:noMultiLvlLbl val="0"/>
      </c:catAx>
      <c:valAx>
        <c:axId val="17049067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862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[Andre_Philip_Nyanjahia_Dataset (version 1).xlsx]PivotAnalysis!PivotTable3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PivotAnalysis!$B$3:$B$4</c:f>
              <c:strCache>
                <c:ptCount val="1"/>
                <c:pt idx="0">
                  <c:v>Individuals using the Internet (% of population)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50-47D0-B1CA-1F110C031C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50-47D0-B1CA-1F110C031C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950-47D0-B1CA-1F110C031C6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950-47D0-B1CA-1F110C031C6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950-47D0-B1CA-1F110C031C6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950-47D0-B1CA-1F110C031C6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950-47D0-B1CA-1F110C031C6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950-47D0-B1CA-1F110C031C6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950-47D0-B1CA-1F110C031C6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PivotAnalysis!$A$5:$A$14</c:f>
              <c:strCache>
                <c:ptCount val="9"/>
                <c:pt idx="0">
                  <c:v>2015 [YR2015]</c:v>
                </c:pt>
                <c:pt idx="1">
                  <c:v>2016 [YR2016]</c:v>
                </c:pt>
                <c:pt idx="2">
                  <c:v>2017 [YR2017]</c:v>
                </c:pt>
                <c:pt idx="3">
                  <c:v>2018 [YR2018]</c:v>
                </c:pt>
                <c:pt idx="4">
                  <c:v>2019 [YR2019]</c:v>
                </c:pt>
                <c:pt idx="5">
                  <c:v>2020 [YR2020]</c:v>
                </c:pt>
                <c:pt idx="6">
                  <c:v>2021 [YR2021]</c:v>
                </c:pt>
                <c:pt idx="7">
                  <c:v>2022 [YR2022]</c:v>
                </c:pt>
                <c:pt idx="8">
                  <c:v>2023 [YR2023]</c:v>
                </c:pt>
              </c:strCache>
            </c:strRef>
          </c:cat>
          <c:val>
            <c:numRef>
              <c:f>PivotAnalysis!$B$5:$B$14</c:f>
              <c:numCache>
                <c:formatCode>0.0</c:formatCode>
                <c:ptCount val="9"/>
                <c:pt idx="0">
                  <c:v>21.700000760000002</c:v>
                </c:pt>
                <c:pt idx="1">
                  <c:v>25.664800639999999</c:v>
                </c:pt>
                <c:pt idx="2">
                  <c:v>29.643100740000001</c:v>
                </c:pt>
                <c:pt idx="3">
                  <c:v>35.299999239999998</c:v>
                </c:pt>
                <c:pt idx="4">
                  <c:v>43.379699709999997</c:v>
                </c:pt>
                <c:pt idx="5">
                  <c:v>53.308799739999998</c:v>
                </c:pt>
                <c:pt idx="6">
                  <c:v>55.040401459999998</c:v>
                </c:pt>
                <c:pt idx="7">
                  <c:v>56.828300480000003</c:v>
                </c:pt>
                <c:pt idx="8">
                  <c:v>59.187400820000001</c:v>
                </c:pt>
              </c:numCache>
            </c:numRef>
          </c:val>
          <c:extLst>
            <c:ext xmlns:c16="http://schemas.microsoft.com/office/drawing/2014/chart" uri="{C3380CC4-5D6E-409C-BE32-E72D297353CC}">
              <c16:uniqueId val="{00000000-8981-48F9-8B1C-C053BF02FE3A}"/>
            </c:ext>
          </c:extLst>
        </c:ser>
        <c:ser>
          <c:idx val="1"/>
          <c:order val="1"/>
          <c:tx>
            <c:strRef>
              <c:f>PivotAnalysis!$C$3:$C$4</c:f>
              <c:strCache>
                <c:ptCount val="1"/>
                <c:pt idx="0">
                  <c:v>Unemployment, youth total (% of total labor force ages 15-24) (modeled ILO estimate)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PivotAnalysis!$A$5:$A$14</c:f>
              <c:strCache>
                <c:ptCount val="9"/>
                <c:pt idx="0">
                  <c:v>2015 [YR2015]</c:v>
                </c:pt>
                <c:pt idx="1">
                  <c:v>2016 [YR2016]</c:v>
                </c:pt>
                <c:pt idx="2">
                  <c:v>2017 [YR2017]</c:v>
                </c:pt>
                <c:pt idx="3">
                  <c:v>2018 [YR2018]</c:v>
                </c:pt>
                <c:pt idx="4">
                  <c:v>2019 [YR2019]</c:v>
                </c:pt>
                <c:pt idx="5">
                  <c:v>2020 [YR2020]</c:v>
                </c:pt>
                <c:pt idx="6">
                  <c:v>2021 [YR2021]</c:v>
                </c:pt>
                <c:pt idx="7">
                  <c:v>2022 [YR2022]</c:v>
                </c:pt>
                <c:pt idx="8">
                  <c:v>2023 [YR2023]</c:v>
                </c:pt>
              </c:strCache>
            </c:strRef>
          </c:cat>
          <c:val>
            <c:numRef>
              <c:f>PivotAnalysis!$C$5:$C$14</c:f>
              <c:numCache>
                <c:formatCode>0.0</c:formatCode>
                <c:ptCount val="9"/>
                <c:pt idx="0">
                  <c:v>8.0449999999999999</c:v>
                </c:pt>
                <c:pt idx="1">
                  <c:v>6.3739999999999997</c:v>
                </c:pt>
                <c:pt idx="2">
                  <c:v>5.8360000000000003</c:v>
                </c:pt>
                <c:pt idx="3">
                  <c:v>4.92</c:v>
                </c:pt>
                <c:pt idx="4">
                  <c:v>4.0369999999999999</c:v>
                </c:pt>
                <c:pt idx="5">
                  <c:v>4.8170000000000002</c:v>
                </c:pt>
                <c:pt idx="6">
                  <c:v>4.6609999999999996</c:v>
                </c:pt>
                <c:pt idx="7">
                  <c:v>3.9020000000000001</c:v>
                </c:pt>
                <c:pt idx="8">
                  <c:v>3.859</c:v>
                </c:pt>
              </c:numCache>
            </c:numRef>
          </c:val>
          <c:extLst>
            <c:ext xmlns:c16="http://schemas.microsoft.com/office/drawing/2014/chart" uri="{C3380CC4-5D6E-409C-BE32-E72D297353CC}">
              <c16:uniqueId val="{00000013-99D7-41E4-B4B1-5C5A5C74D8D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Youth Unemployment by Country (2023)</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Summary!$B$1</c:f>
              <c:strCache>
                <c:ptCount val="1"/>
                <c:pt idx="0">
                  <c:v>Youth Unemployement  2023</c:v>
                </c:pt>
              </c:strCache>
            </c:strRef>
          </c:tx>
          <c:spPr>
            <a:solidFill>
              <a:schemeClr val="accent1"/>
            </a:solidFill>
            <a:ln>
              <a:noFill/>
            </a:ln>
            <a:effectLst/>
          </c:spPr>
          <c:invertIfNegative val="0"/>
          <c:cat>
            <c:strRef>
              <c:f>Summary!$A$2:$A$15</c:f>
              <c:strCache>
                <c:ptCount val="14"/>
                <c:pt idx="0">
                  <c:v>Nigeria</c:v>
                </c:pt>
                <c:pt idx="1">
                  <c:v>Malawi</c:v>
                </c:pt>
                <c:pt idx="2">
                  <c:v>Mozambique</c:v>
                </c:pt>
                <c:pt idx="3">
                  <c:v>Kenya</c:v>
                </c:pt>
                <c:pt idx="4">
                  <c:v>Rwanda</c:v>
                </c:pt>
                <c:pt idx="5">
                  <c:v>Ghana</c:v>
                </c:pt>
                <c:pt idx="6">
                  <c:v>Egypt, Arab Rep.</c:v>
                </c:pt>
                <c:pt idx="7">
                  <c:v>Tanzania</c:v>
                </c:pt>
                <c:pt idx="8">
                  <c:v>Ethiopia</c:v>
                </c:pt>
                <c:pt idx="9">
                  <c:v>Uganda</c:v>
                </c:pt>
                <c:pt idx="10">
                  <c:v>Zambia</c:v>
                </c:pt>
                <c:pt idx="11">
                  <c:v>Senegal</c:v>
                </c:pt>
                <c:pt idx="12">
                  <c:v>Cameroon</c:v>
                </c:pt>
                <c:pt idx="13">
                  <c:v>Cote d'Ivoire</c:v>
                </c:pt>
              </c:strCache>
            </c:strRef>
          </c:cat>
          <c:val>
            <c:numRef>
              <c:f>Summary!$B$2:$B$15</c:f>
              <c:numCache>
                <c:formatCode>General</c:formatCode>
                <c:ptCount val="14"/>
                <c:pt idx="0">
                  <c:v>5.0999999999999996</c:v>
                </c:pt>
                <c:pt idx="1">
                  <c:v>6.8</c:v>
                </c:pt>
                <c:pt idx="2">
                  <c:v>11.5</c:v>
                </c:pt>
                <c:pt idx="3">
                  <c:v>15.2</c:v>
                </c:pt>
                <c:pt idx="4">
                  <c:v>18.2</c:v>
                </c:pt>
                <c:pt idx="5">
                  <c:v>5.4</c:v>
                </c:pt>
                <c:pt idx="6">
                  <c:v>17.2</c:v>
                </c:pt>
                <c:pt idx="7">
                  <c:v>2.2999999999999998</c:v>
                </c:pt>
                <c:pt idx="8">
                  <c:v>5.5</c:v>
                </c:pt>
                <c:pt idx="9">
                  <c:v>4.2</c:v>
                </c:pt>
                <c:pt idx="10">
                  <c:v>10</c:v>
                </c:pt>
                <c:pt idx="11">
                  <c:v>3.9</c:v>
                </c:pt>
                <c:pt idx="12">
                  <c:v>6.6</c:v>
                </c:pt>
                <c:pt idx="13">
                  <c:v>4.2</c:v>
                </c:pt>
              </c:numCache>
            </c:numRef>
          </c:val>
          <c:extLst>
            <c:ext xmlns:c16="http://schemas.microsoft.com/office/drawing/2014/chart" uri="{C3380CC4-5D6E-409C-BE32-E72D297353CC}">
              <c16:uniqueId val="{00000000-7DAA-4969-ABF9-627148D9570C}"/>
            </c:ext>
          </c:extLst>
        </c:ser>
        <c:dLbls>
          <c:showLegendKey val="0"/>
          <c:showVal val="0"/>
          <c:showCatName val="0"/>
          <c:showSerName val="0"/>
          <c:showPercent val="0"/>
          <c:showBubbleSize val="0"/>
        </c:dLbls>
        <c:gapWidth val="219"/>
        <c:overlap val="-27"/>
        <c:axId val="740284943"/>
        <c:axId val="170495951"/>
        <c:extLst>
          <c:ext xmlns:c15="http://schemas.microsoft.com/office/drawing/2012/chart" uri="{02D57815-91ED-43cb-92C2-25804820EDAC}">
            <c15:filteredBarSeries>
              <c15:ser>
                <c:idx val="1"/>
                <c:order val="1"/>
                <c:tx>
                  <c:strRef>
                    <c:extLst>
                      <c:ext uri="{02D57815-91ED-43cb-92C2-25804820EDAC}">
                        <c15:formulaRef>
                          <c15:sqref>Summary!$C$1</c15:sqref>
                        </c15:formulaRef>
                      </c:ext>
                    </c:extLst>
                    <c:strCache>
                      <c:ptCount val="1"/>
                      <c:pt idx="0">
                        <c:v>Internet Users (2023</c:v>
                      </c:pt>
                    </c:strCache>
                  </c:strRef>
                </c:tx>
                <c:spPr>
                  <a:solidFill>
                    <a:schemeClr val="accent2"/>
                  </a:solidFill>
                  <a:ln>
                    <a:noFill/>
                  </a:ln>
                  <a:effectLst/>
                </c:spPr>
                <c:invertIfNegative val="0"/>
                <c:cat>
                  <c:strRef>
                    <c:extLst>
                      <c:ext uri="{02D57815-91ED-43cb-92C2-25804820EDAC}">
                        <c15:formulaRef>
                          <c15:sqref>Summary!$A$2:$A$15</c15:sqref>
                        </c15:formulaRef>
                      </c:ext>
                    </c:extLst>
                    <c:strCache>
                      <c:ptCount val="14"/>
                      <c:pt idx="0">
                        <c:v>Nigeria</c:v>
                      </c:pt>
                      <c:pt idx="1">
                        <c:v>Malawi</c:v>
                      </c:pt>
                      <c:pt idx="2">
                        <c:v>Mozambique</c:v>
                      </c:pt>
                      <c:pt idx="3">
                        <c:v>Kenya</c:v>
                      </c:pt>
                      <c:pt idx="4">
                        <c:v>Rwanda</c:v>
                      </c:pt>
                      <c:pt idx="5">
                        <c:v>Ghana</c:v>
                      </c:pt>
                      <c:pt idx="6">
                        <c:v>Egypt, Arab Rep.</c:v>
                      </c:pt>
                      <c:pt idx="7">
                        <c:v>Tanzania</c:v>
                      </c:pt>
                      <c:pt idx="8">
                        <c:v>Ethiopia</c:v>
                      </c:pt>
                      <c:pt idx="9">
                        <c:v>Uganda</c:v>
                      </c:pt>
                      <c:pt idx="10">
                        <c:v>Zambia</c:v>
                      </c:pt>
                      <c:pt idx="11">
                        <c:v>Senegal</c:v>
                      </c:pt>
                      <c:pt idx="12">
                        <c:v>Cameroon</c:v>
                      </c:pt>
                      <c:pt idx="13">
                        <c:v>Cote d'Ivoire</c:v>
                      </c:pt>
                    </c:strCache>
                  </c:strRef>
                </c:cat>
                <c:val>
                  <c:numRef>
                    <c:extLst>
                      <c:ext uri="{02D57815-91ED-43cb-92C2-25804820EDAC}">
                        <c15:formulaRef>
                          <c15:sqref>Summary!$C$2:$C$15</c15:sqref>
                        </c15:formulaRef>
                      </c:ext>
                    </c:extLst>
                    <c:numCache>
                      <c:formatCode>General</c:formatCode>
                      <c:ptCount val="14"/>
                      <c:pt idx="0">
                        <c:v>40.1</c:v>
                      </c:pt>
                      <c:pt idx="1">
                        <c:v>18</c:v>
                      </c:pt>
                      <c:pt idx="2">
                        <c:v>19.899999999999999</c:v>
                      </c:pt>
                      <c:pt idx="3">
                        <c:v>32.1</c:v>
                      </c:pt>
                      <c:pt idx="4">
                        <c:v>28.8</c:v>
                      </c:pt>
                      <c:pt idx="5">
                        <c:v>70.7</c:v>
                      </c:pt>
                      <c:pt idx="6">
                        <c:v>74</c:v>
                      </c:pt>
                      <c:pt idx="7">
                        <c:v>28.4</c:v>
                      </c:pt>
                      <c:pt idx="8">
                        <c:v>20.3</c:v>
                      </c:pt>
                      <c:pt idx="9">
                        <c:v>9.3000000000000007</c:v>
                      </c:pt>
                      <c:pt idx="10">
                        <c:v>16.5</c:v>
                      </c:pt>
                      <c:pt idx="11">
                        <c:v>59.2</c:v>
                      </c:pt>
                      <c:pt idx="12">
                        <c:v>42.2</c:v>
                      </c:pt>
                      <c:pt idx="13">
                        <c:v>40.700000000000003</c:v>
                      </c:pt>
                    </c:numCache>
                  </c:numRef>
                </c:val>
                <c:extLst>
                  <c:ext xmlns:c16="http://schemas.microsoft.com/office/drawing/2014/chart" uri="{C3380CC4-5D6E-409C-BE32-E72D297353CC}">
                    <c16:uniqueId val="{00000001-7DAA-4969-ABF9-627148D9570C}"/>
                  </c:ext>
                </c:extLst>
              </c15:ser>
            </c15:filteredBarSeries>
          </c:ext>
        </c:extLst>
      </c:barChart>
      <c:catAx>
        <c:axId val="74028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95951"/>
        <c:crosses val="autoZero"/>
        <c:auto val="1"/>
        <c:lblAlgn val="ctr"/>
        <c:lblOffset val="100"/>
        <c:noMultiLvlLbl val="0"/>
      </c:catAx>
      <c:valAx>
        <c:axId val="170495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2849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Summary!$C$1</c:f>
              <c:strCache>
                <c:ptCount val="1"/>
                <c:pt idx="0">
                  <c:v>Internet Users (2023</c:v>
                </c:pt>
              </c:strCache>
            </c:strRef>
          </c:tx>
          <c:spPr>
            <a:solidFill>
              <a:schemeClr val="accent1"/>
            </a:solidFill>
            <a:ln>
              <a:noFill/>
            </a:ln>
            <a:effectLst/>
          </c:spPr>
          <c:invertIfNegative val="0"/>
          <c:cat>
            <c:strRef>
              <c:f>Summary!$A$2:$A$15</c:f>
              <c:strCache>
                <c:ptCount val="14"/>
                <c:pt idx="0">
                  <c:v>Nigeria</c:v>
                </c:pt>
                <c:pt idx="1">
                  <c:v>Malawi</c:v>
                </c:pt>
                <c:pt idx="2">
                  <c:v>Mozambique</c:v>
                </c:pt>
                <c:pt idx="3">
                  <c:v>Kenya</c:v>
                </c:pt>
                <c:pt idx="4">
                  <c:v>Rwanda</c:v>
                </c:pt>
                <c:pt idx="5">
                  <c:v>Ghana</c:v>
                </c:pt>
                <c:pt idx="6">
                  <c:v>Egypt, Arab Rep.</c:v>
                </c:pt>
                <c:pt idx="7">
                  <c:v>Tanzania</c:v>
                </c:pt>
                <c:pt idx="8">
                  <c:v>Ethiopia</c:v>
                </c:pt>
                <c:pt idx="9">
                  <c:v>Uganda</c:v>
                </c:pt>
                <c:pt idx="10">
                  <c:v>Zambia</c:v>
                </c:pt>
                <c:pt idx="11">
                  <c:v>Senegal</c:v>
                </c:pt>
                <c:pt idx="12">
                  <c:v>Cameroon</c:v>
                </c:pt>
                <c:pt idx="13">
                  <c:v>Cote d'Ivoire</c:v>
                </c:pt>
              </c:strCache>
            </c:strRef>
          </c:cat>
          <c:val>
            <c:numRef>
              <c:f>Summary!$C$2:$C$15</c:f>
              <c:numCache>
                <c:formatCode>General</c:formatCode>
                <c:ptCount val="14"/>
                <c:pt idx="0">
                  <c:v>40.1</c:v>
                </c:pt>
                <c:pt idx="1">
                  <c:v>18</c:v>
                </c:pt>
                <c:pt idx="2">
                  <c:v>19.899999999999999</c:v>
                </c:pt>
                <c:pt idx="3">
                  <c:v>32.1</c:v>
                </c:pt>
                <c:pt idx="4">
                  <c:v>28.8</c:v>
                </c:pt>
                <c:pt idx="5">
                  <c:v>70.7</c:v>
                </c:pt>
                <c:pt idx="6">
                  <c:v>74</c:v>
                </c:pt>
                <c:pt idx="7">
                  <c:v>28.4</c:v>
                </c:pt>
                <c:pt idx="8">
                  <c:v>20.3</c:v>
                </c:pt>
                <c:pt idx="9">
                  <c:v>9.3000000000000007</c:v>
                </c:pt>
                <c:pt idx="10">
                  <c:v>16.5</c:v>
                </c:pt>
                <c:pt idx="11">
                  <c:v>59.2</c:v>
                </c:pt>
                <c:pt idx="12">
                  <c:v>42.2</c:v>
                </c:pt>
                <c:pt idx="13">
                  <c:v>40.700000000000003</c:v>
                </c:pt>
              </c:numCache>
            </c:numRef>
          </c:val>
          <c:extLst>
            <c:ext xmlns:c16="http://schemas.microsoft.com/office/drawing/2014/chart" uri="{C3380CC4-5D6E-409C-BE32-E72D297353CC}">
              <c16:uniqueId val="{00000000-B8B6-4886-BF1A-5B5B7AD2A6F8}"/>
            </c:ext>
          </c:extLst>
        </c:ser>
        <c:dLbls>
          <c:showLegendKey val="0"/>
          <c:showVal val="0"/>
          <c:showCatName val="0"/>
          <c:showSerName val="0"/>
          <c:showPercent val="0"/>
          <c:showBubbleSize val="0"/>
        </c:dLbls>
        <c:gapWidth val="219"/>
        <c:overlap val="-27"/>
        <c:axId val="798559887"/>
        <c:axId val="170542031"/>
      </c:barChart>
      <c:catAx>
        <c:axId val="79855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42031"/>
        <c:crosses val="autoZero"/>
        <c:auto val="1"/>
        <c:lblAlgn val="ctr"/>
        <c:lblOffset val="100"/>
        <c:noMultiLvlLbl val="0"/>
      </c:catAx>
      <c:valAx>
        <c:axId val="170542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559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Internet Users (2023) VS Unemployement</a:t>
            </a:r>
          </a:p>
        </c:rich>
      </c:tx>
      <c:layout>
        <c:manualLayout>
          <c:xMode val="edge"/>
          <c:yMode val="edge"/>
          <c:x val="0.15972900262467191"/>
          <c:y val="1.37254909024492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Summary!$C$1</c:f>
              <c:strCache>
                <c:ptCount val="1"/>
                <c:pt idx="0">
                  <c:v>Internet Users (2023</c:v>
                </c:pt>
              </c:strCache>
            </c:strRef>
          </c:tx>
          <c:spPr>
            <a:ln w="25400" cap="rnd">
              <a:noFill/>
              <a:round/>
            </a:ln>
            <a:effectLst/>
          </c:spPr>
          <c:marker>
            <c:symbol val="circle"/>
            <c:size val="5"/>
            <c:spPr>
              <a:solidFill>
                <a:schemeClr val="accent1"/>
              </a:solidFill>
              <a:ln w="9525">
                <a:solidFill>
                  <a:schemeClr val="accent1"/>
                </a:solidFill>
              </a:ln>
              <a:effectLst/>
            </c:spPr>
          </c:marker>
          <c:xVal>
            <c:numRef>
              <c:f>Summary!$B$2:$B$15</c:f>
              <c:numCache>
                <c:formatCode>General</c:formatCode>
                <c:ptCount val="14"/>
                <c:pt idx="0">
                  <c:v>5.0999999999999996</c:v>
                </c:pt>
                <c:pt idx="1">
                  <c:v>6.8</c:v>
                </c:pt>
                <c:pt idx="2">
                  <c:v>11.5</c:v>
                </c:pt>
                <c:pt idx="3">
                  <c:v>15.2</c:v>
                </c:pt>
                <c:pt idx="4">
                  <c:v>18.2</c:v>
                </c:pt>
                <c:pt idx="5">
                  <c:v>5.4</c:v>
                </c:pt>
                <c:pt idx="6">
                  <c:v>17.2</c:v>
                </c:pt>
                <c:pt idx="7">
                  <c:v>2.2999999999999998</c:v>
                </c:pt>
                <c:pt idx="8">
                  <c:v>5.5</c:v>
                </c:pt>
                <c:pt idx="9">
                  <c:v>4.2</c:v>
                </c:pt>
                <c:pt idx="10">
                  <c:v>10</c:v>
                </c:pt>
                <c:pt idx="11">
                  <c:v>3.9</c:v>
                </c:pt>
                <c:pt idx="12">
                  <c:v>6.6</c:v>
                </c:pt>
                <c:pt idx="13">
                  <c:v>4.2</c:v>
                </c:pt>
              </c:numCache>
            </c:numRef>
          </c:xVal>
          <c:yVal>
            <c:numRef>
              <c:f>Summary!$C$2:$C$15</c:f>
              <c:numCache>
                <c:formatCode>General</c:formatCode>
                <c:ptCount val="14"/>
                <c:pt idx="0">
                  <c:v>40.1</c:v>
                </c:pt>
                <c:pt idx="1">
                  <c:v>18</c:v>
                </c:pt>
                <c:pt idx="2">
                  <c:v>19.899999999999999</c:v>
                </c:pt>
                <c:pt idx="3">
                  <c:v>32.1</c:v>
                </c:pt>
                <c:pt idx="4">
                  <c:v>28.8</c:v>
                </c:pt>
                <c:pt idx="5">
                  <c:v>70.7</c:v>
                </c:pt>
                <c:pt idx="6">
                  <c:v>74</c:v>
                </c:pt>
                <c:pt idx="7">
                  <c:v>28.4</c:v>
                </c:pt>
                <c:pt idx="8">
                  <c:v>20.3</c:v>
                </c:pt>
                <c:pt idx="9">
                  <c:v>9.3000000000000007</c:v>
                </c:pt>
                <c:pt idx="10">
                  <c:v>16.5</c:v>
                </c:pt>
                <c:pt idx="11">
                  <c:v>59.2</c:v>
                </c:pt>
                <c:pt idx="12">
                  <c:v>42.2</c:v>
                </c:pt>
                <c:pt idx="13">
                  <c:v>40.700000000000003</c:v>
                </c:pt>
              </c:numCache>
            </c:numRef>
          </c:yVal>
          <c:smooth val="0"/>
          <c:extLst>
            <c:ext xmlns:c16="http://schemas.microsoft.com/office/drawing/2014/chart" uri="{C3380CC4-5D6E-409C-BE32-E72D297353CC}">
              <c16:uniqueId val="{00000000-19E7-488C-81DB-F2F8D85469D1}"/>
            </c:ext>
          </c:extLst>
        </c:ser>
        <c:dLbls>
          <c:showLegendKey val="0"/>
          <c:showVal val="0"/>
          <c:showCatName val="0"/>
          <c:showSerName val="0"/>
          <c:showPercent val="0"/>
          <c:showBubbleSize val="0"/>
        </c:dLbls>
        <c:axId val="798538079"/>
        <c:axId val="170499311"/>
      </c:scatterChart>
      <c:valAx>
        <c:axId val="7985380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99311"/>
        <c:crosses val="autoZero"/>
        <c:crossBetween val="midCat"/>
      </c:valAx>
      <c:valAx>
        <c:axId val="170499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5380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Youth Unemployment Trend in Africa (2015-2023</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Youth Unemployment Trend</c:v>
          </c:tx>
          <c:spPr>
            <a:ln w="28575" cap="rnd">
              <a:solidFill>
                <a:schemeClr val="accent1"/>
              </a:solidFill>
              <a:round/>
            </a:ln>
            <a:effectLst/>
          </c:spPr>
          <c:marker>
            <c:symbol val="none"/>
          </c:marker>
          <c:cat>
            <c:numRef>
              <c:f>Summary!$A$18:$I$18</c:f>
              <c:numCache>
                <c:formatCode>General</c:formatCode>
                <c:ptCount val="9"/>
                <c:pt idx="0">
                  <c:v>2015</c:v>
                </c:pt>
                <c:pt idx="1">
                  <c:v>2016</c:v>
                </c:pt>
                <c:pt idx="2">
                  <c:v>2017</c:v>
                </c:pt>
                <c:pt idx="3">
                  <c:v>2018</c:v>
                </c:pt>
                <c:pt idx="4">
                  <c:v>2019</c:v>
                </c:pt>
                <c:pt idx="5">
                  <c:v>2020</c:v>
                </c:pt>
                <c:pt idx="6">
                  <c:v>2021</c:v>
                </c:pt>
                <c:pt idx="7">
                  <c:v>2022</c:v>
                </c:pt>
                <c:pt idx="8">
                  <c:v>2023</c:v>
                </c:pt>
              </c:numCache>
            </c:numRef>
          </c:cat>
          <c:val>
            <c:numRef>
              <c:f>Summary!$A$19:$I$19</c:f>
              <c:numCache>
                <c:formatCode>General</c:formatCode>
                <c:ptCount val="9"/>
                <c:pt idx="0">
                  <c:v>9.1</c:v>
                </c:pt>
                <c:pt idx="1">
                  <c:v>8.6999999999999993</c:v>
                </c:pt>
                <c:pt idx="2">
                  <c:v>8.4</c:v>
                </c:pt>
                <c:pt idx="3">
                  <c:v>9</c:v>
                </c:pt>
                <c:pt idx="4">
                  <c:v>9</c:v>
                </c:pt>
                <c:pt idx="5">
                  <c:v>8.6</c:v>
                </c:pt>
                <c:pt idx="6">
                  <c:v>8.3000000000000007</c:v>
                </c:pt>
                <c:pt idx="7">
                  <c:v>8.6</c:v>
                </c:pt>
                <c:pt idx="8">
                  <c:v>8.3000000000000007</c:v>
                </c:pt>
              </c:numCache>
            </c:numRef>
          </c:val>
          <c:smooth val="0"/>
          <c:extLst>
            <c:ext xmlns:c16="http://schemas.microsoft.com/office/drawing/2014/chart" uri="{C3380CC4-5D6E-409C-BE32-E72D297353CC}">
              <c16:uniqueId val="{00000009-530B-4106-9F68-45DA55F1C409}"/>
            </c:ext>
          </c:extLst>
        </c:ser>
        <c:dLbls>
          <c:showLegendKey val="0"/>
          <c:showVal val="0"/>
          <c:showCatName val="0"/>
          <c:showSerName val="0"/>
          <c:showPercent val="0"/>
          <c:showBubbleSize val="0"/>
        </c:dLbls>
        <c:smooth val="0"/>
        <c:axId val="787356847"/>
        <c:axId val="170544431"/>
      </c:lineChart>
      <c:catAx>
        <c:axId val="78735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44431"/>
        <c:crosses val="autoZero"/>
        <c:auto val="1"/>
        <c:lblAlgn val="ctr"/>
        <c:lblOffset val="100"/>
        <c:noMultiLvlLbl val="0"/>
      </c:catAx>
      <c:valAx>
        <c:axId val="170544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56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Youth Unemployment by Country (2023)</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Summary!$B$1</c:f>
              <c:strCache>
                <c:ptCount val="1"/>
                <c:pt idx="0">
                  <c:v>Youth Unemployement  2023</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Summary!$A$2:$A$15</c:f>
              <c:strCache>
                <c:ptCount val="14"/>
                <c:pt idx="0">
                  <c:v>Nigeria</c:v>
                </c:pt>
                <c:pt idx="1">
                  <c:v>Malawi</c:v>
                </c:pt>
                <c:pt idx="2">
                  <c:v>Mozambique</c:v>
                </c:pt>
                <c:pt idx="3">
                  <c:v>Kenya</c:v>
                </c:pt>
                <c:pt idx="4">
                  <c:v>Rwanda</c:v>
                </c:pt>
                <c:pt idx="5">
                  <c:v>Ghana</c:v>
                </c:pt>
                <c:pt idx="6">
                  <c:v>Egypt, Arab Rep.</c:v>
                </c:pt>
                <c:pt idx="7">
                  <c:v>Tanzania</c:v>
                </c:pt>
                <c:pt idx="8">
                  <c:v>Ethiopia</c:v>
                </c:pt>
                <c:pt idx="9">
                  <c:v>Uganda</c:v>
                </c:pt>
                <c:pt idx="10">
                  <c:v>Zambia</c:v>
                </c:pt>
                <c:pt idx="11">
                  <c:v>Senegal</c:v>
                </c:pt>
                <c:pt idx="12">
                  <c:v>Cameroon</c:v>
                </c:pt>
                <c:pt idx="13">
                  <c:v>Cote d'Ivoire</c:v>
                </c:pt>
              </c:strCache>
            </c:strRef>
          </c:cat>
          <c:val>
            <c:numRef>
              <c:f>Summary!$B$2:$B$15</c:f>
              <c:numCache>
                <c:formatCode>General</c:formatCode>
                <c:ptCount val="14"/>
                <c:pt idx="0">
                  <c:v>5.0999999999999996</c:v>
                </c:pt>
                <c:pt idx="1">
                  <c:v>6.8</c:v>
                </c:pt>
                <c:pt idx="2">
                  <c:v>11.5</c:v>
                </c:pt>
                <c:pt idx="3">
                  <c:v>15.2</c:v>
                </c:pt>
                <c:pt idx="4">
                  <c:v>18.2</c:v>
                </c:pt>
                <c:pt idx="5">
                  <c:v>5.4</c:v>
                </c:pt>
                <c:pt idx="6">
                  <c:v>17.2</c:v>
                </c:pt>
                <c:pt idx="7">
                  <c:v>2.2999999999999998</c:v>
                </c:pt>
                <c:pt idx="8">
                  <c:v>5.5</c:v>
                </c:pt>
                <c:pt idx="9">
                  <c:v>4.2</c:v>
                </c:pt>
                <c:pt idx="10">
                  <c:v>10</c:v>
                </c:pt>
                <c:pt idx="11">
                  <c:v>3.9</c:v>
                </c:pt>
                <c:pt idx="12">
                  <c:v>6.6</c:v>
                </c:pt>
                <c:pt idx="13">
                  <c:v>4.2</c:v>
                </c:pt>
              </c:numCache>
            </c:numRef>
          </c:val>
          <c:extLst>
            <c:ext xmlns:c16="http://schemas.microsoft.com/office/drawing/2014/chart" uri="{C3380CC4-5D6E-409C-BE32-E72D297353CC}">
              <c16:uniqueId val="{00000000-7C64-4AE8-8B8F-6484BA95900C}"/>
            </c:ext>
          </c:extLst>
        </c:ser>
        <c:dLbls>
          <c:showLegendKey val="0"/>
          <c:showVal val="0"/>
          <c:showCatName val="0"/>
          <c:showSerName val="0"/>
          <c:showPercent val="0"/>
          <c:showBubbleSize val="0"/>
        </c:dLbls>
        <c:gapWidth val="315"/>
        <c:overlap val="-40"/>
        <c:axId val="740284943"/>
        <c:axId val="170495951"/>
        <c:extLst>
          <c:ext xmlns:c15="http://schemas.microsoft.com/office/drawing/2012/chart" uri="{02D57815-91ED-43cb-92C2-25804820EDAC}">
            <c15:filteredBarSeries>
              <c15:ser>
                <c:idx val="1"/>
                <c:order val="1"/>
                <c:tx>
                  <c:strRef>
                    <c:extLst>
                      <c:ext uri="{02D57815-91ED-43cb-92C2-25804820EDAC}">
                        <c15:formulaRef>
                          <c15:sqref>Summary!$C$1</c15:sqref>
                        </c15:formulaRef>
                      </c:ext>
                    </c:extLst>
                    <c:strCache>
                      <c:ptCount val="1"/>
                      <c:pt idx="0">
                        <c:v>Internet Users (2023</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extLst>
                      <c:ext uri="{02D57815-91ED-43cb-92C2-25804820EDAC}">
                        <c15:formulaRef>
                          <c15:sqref>Summary!$A$2:$A$15</c15:sqref>
                        </c15:formulaRef>
                      </c:ext>
                    </c:extLst>
                    <c:strCache>
                      <c:ptCount val="14"/>
                      <c:pt idx="0">
                        <c:v>Nigeria</c:v>
                      </c:pt>
                      <c:pt idx="1">
                        <c:v>Malawi</c:v>
                      </c:pt>
                      <c:pt idx="2">
                        <c:v>Mozambique</c:v>
                      </c:pt>
                      <c:pt idx="3">
                        <c:v>Kenya</c:v>
                      </c:pt>
                      <c:pt idx="4">
                        <c:v>Rwanda</c:v>
                      </c:pt>
                      <c:pt idx="5">
                        <c:v>Ghana</c:v>
                      </c:pt>
                      <c:pt idx="6">
                        <c:v>Egypt, Arab Rep.</c:v>
                      </c:pt>
                      <c:pt idx="7">
                        <c:v>Tanzania</c:v>
                      </c:pt>
                      <c:pt idx="8">
                        <c:v>Ethiopia</c:v>
                      </c:pt>
                      <c:pt idx="9">
                        <c:v>Uganda</c:v>
                      </c:pt>
                      <c:pt idx="10">
                        <c:v>Zambia</c:v>
                      </c:pt>
                      <c:pt idx="11">
                        <c:v>Senegal</c:v>
                      </c:pt>
                      <c:pt idx="12">
                        <c:v>Cameroon</c:v>
                      </c:pt>
                      <c:pt idx="13">
                        <c:v>Cote d'Ivoire</c:v>
                      </c:pt>
                    </c:strCache>
                  </c:strRef>
                </c:cat>
                <c:val>
                  <c:numRef>
                    <c:extLst>
                      <c:ext uri="{02D57815-91ED-43cb-92C2-25804820EDAC}">
                        <c15:formulaRef>
                          <c15:sqref>Summary!$C$2:$C$15</c15:sqref>
                        </c15:formulaRef>
                      </c:ext>
                    </c:extLst>
                    <c:numCache>
                      <c:formatCode>General</c:formatCode>
                      <c:ptCount val="14"/>
                      <c:pt idx="0">
                        <c:v>40.1</c:v>
                      </c:pt>
                      <c:pt idx="1">
                        <c:v>18</c:v>
                      </c:pt>
                      <c:pt idx="2">
                        <c:v>19.899999999999999</c:v>
                      </c:pt>
                      <c:pt idx="3">
                        <c:v>32.1</c:v>
                      </c:pt>
                      <c:pt idx="4">
                        <c:v>28.8</c:v>
                      </c:pt>
                      <c:pt idx="5">
                        <c:v>70.7</c:v>
                      </c:pt>
                      <c:pt idx="6">
                        <c:v>74</c:v>
                      </c:pt>
                      <c:pt idx="7">
                        <c:v>28.4</c:v>
                      </c:pt>
                      <c:pt idx="8">
                        <c:v>20.3</c:v>
                      </c:pt>
                      <c:pt idx="9">
                        <c:v>9.3000000000000007</c:v>
                      </c:pt>
                      <c:pt idx="10">
                        <c:v>16.5</c:v>
                      </c:pt>
                      <c:pt idx="11">
                        <c:v>59.2</c:v>
                      </c:pt>
                      <c:pt idx="12">
                        <c:v>42.2</c:v>
                      </c:pt>
                      <c:pt idx="13">
                        <c:v>40.700000000000003</c:v>
                      </c:pt>
                    </c:numCache>
                  </c:numRef>
                </c:val>
                <c:extLst>
                  <c:ext xmlns:c16="http://schemas.microsoft.com/office/drawing/2014/chart" uri="{C3380CC4-5D6E-409C-BE32-E72D297353CC}">
                    <c16:uniqueId val="{00000001-7C64-4AE8-8B8F-6484BA95900C}"/>
                  </c:ext>
                </c:extLst>
              </c15:ser>
            </c15:filteredBarSeries>
          </c:ext>
        </c:extLst>
      </c:barChart>
      <c:catAx>
        <c:axId val="7402849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495951"/>
        <c:crosses val="autoZero"/>
        <c:auto val="1"/>
        <c:lblAlgn val="ctr"/>
        <c:lblOffset val="100"/>
        <c:noMultiLvlLbl val="0"/>
      </c:catAx>
      <c:valAx>
        <c:axId val="17049595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402849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Summary!$C$1</c:f>
              <c:strCache>
                <c:ptCount val="1"/>
                <c:pt idx="0">
                  <c:v>Internet Users (2023</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Summary!$A$2:$A$15</c:f>
              <c:strCache>
                <c:ptCount val="14"/>
                <c:pt idx="0">
                  <c:v>Nigeria</c:v>
                </c:pt>
                <c:pt idx="1">
                  <c:v>Malawi</c:v>
                </c:pt>
                <c:pt idx="2">
                  <c:v>Mozambique</c:v>
                </c:pt>
                <c:pt idx="3">
                  <c:v>Kenya</c:v>
                </c:pt>
                <c:pt idx="4">
                  <c:v>Rwanda</c:v>
                </c:pt>
                <c:pt idx="5">
                  <c:v>Ghana</c:v>
                </c:pt>
                <c:pt idx="6">
                  <c:v>Egypt, Arab Rep.</c:v>
                </c:pt>
                <c:pt idx="7">
                  <c:v>Tanzania</c:v>
                </c:pt>
                <c:pt idx="8">
                  <c:v>Ethiopia</c:v>
                </c:pt>
                <c:pt idx="9">
                  <c:v>Uganda</c:v>
                </c:pt>
                <c:pt idx="10">
                  <c:v>Zambia</c:v>
                </c:pt>
                <c:pt idx="11">
                  <c:v>Senegal</c:v>
                </c:pt>
                <c:pt idx="12">
                  <c:v>Cameroon</c:v>
                </c:pt>
                <c:pt idx="13">
                  <c:v>Cote d'Ivoire</c:v>
                </c:pt>
              </c:strCache>
            </c:strRef>
          </c:cat>
          <c:val>
            <c:numRef>
              <c:f>Summary!$C$2:$C$15</c:f>
              <c:numCache>
                <c:formatCode>General</c:formatCode>
                <c:ptCount val="14"/>
                <c:pt idx="0">
                  <c:v>40.1</c:v>
                </c:pt>
                <c:pt idx="1">
                  <c:v>18</c:v>
                </c:pt>
                <c:pt idx="2">
                  <c:v>19.899999999999999</c:v>
                </c:pt>
                <c:pt idx="3">
                  <c:v>32.1</c:v>
                </c:pt>
                <c:pt idx="4">
                  <c:v>28.8</c:v>
                </c:pt>
                <c:pt idx="5">
                  <c:v>70.7</c:v>
                </c:pt>
                <c:pt idx="6">
                  <c:v>74</c:v>
                </c:pt>
                <c:pt idx="7">
                  <c:v>28.4</c:v>
                </c:pt>
                <c:pt idx="8">
                  <c:v>20.3</c:v>
                </c:pt>
                <c:pt idx="9">
                  <c:v>9.3000000000000007</c:v>
                </c:pt>
                <c:pt idx="10">
                  <c:v>16.5</c:v>
                </c:pt>
                <c:pt idx="11">
                  <c:v>59.2</c:v>
                </c:pt>
                <c:pt idx="12">
                  <c:v>42.2</c:v>
                </c:pt>
                <c:pt idx="13">
                  <c:v>40.700000000000003</c:v>
                </c:pt>
              </c:numCache>
            </c:numRef>
          </c:val>
          <c:extLst>
            <c:ext xmlns:c16="http://schemas.microsoft.com/office/drawing/2014/chart" uri="{C3380CC4-5D6E-409C-BE32-E72D297353CC}">
              <c16:uniqueId val="{00000000-E9E4-4F4B-8B80-F117FD3869CB}"/>
            </c:ext>
          </c:extLst>
        </c:ser>
        <c:dLbls>
          <c:showLegendKey val="0"/>
          <c:showVal val="0"/>
          <c:showCatName val="0"/>
          <c:showSerName val="0"/>
          <c:showPercent val="0"/>
          <c:showBubbleSize val="0"/>
        </c:dLbls>
        <c:gapWidth val="315"/>
        <c:overlap val="-40"/>
        <c:axId val="798559887"/>
        <c:axId val="170542031"/>
      </c:barChart>
      <c:catAx>
        <c:axId val="79855988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542031"/>
        <c:crosses val="autoZero"/>
        <c:auto val="1"/>
        <c:lblAlgn val="ctr"/>
        <c:lblOffset val="100"/>
        <c:noMultiLvlLbl val="0"/>
      </c:catAx>
      <c:valAx>
        <c:axId val="1705420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8559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Internet Users (2023) VS Unemployement</a:t>
            </a:r>
          </a:p>
        </c:rich>
      </c:tx>
      <c:layout>
        <c:manualLayout>
          <c:xMode val="edge"/>
          <c:yMode val="edge"/>
          <c:x val="0.15972900262467191"/>
          <c:y val="1.372549090244922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Summary!$C$1</c:f>
              <c:strCache>
                <c:ptCount val="1"/>
                <c:pt idx="0">
                  <c:v>Internet Users (2023</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Summary!$B$2:$B$15</c:f>
              <c:numCache>
                <c:formatCode>General</c:formatCode>
                <c:ptCount val="14"/>
                <c:pt idx="0">
                  <c:v>5.0999999999999996</c:v>
                </c:pt>
                <c:pt idx="1">
                  <c:v>6.8</c:v>
                </c:pt>
                <c:pt idx="2">
                  <c:v>11.5</c:v>
                </c:pt>
                <c:pt idx="3">
                  <c:v>15.2</c:v>
                </c:pt>
                <c:pt idx="4">
                  <c:v>18.2</c:v>
                </c:pt>
                <c:pt idx="5">
                  <c:v>5.4</c:v>
                </c:pt>
                <c:pt idx="6">
                  <c:v>17.2</c:v>
                </c:pt>
                <c:pt idx="7">
                  <c:v>2.2999999999999998</c:v>
                </c:pt>
                <c:pt idx="8">
                  <c:v>5.5</c:v>
                </c:pt>
                <c:pt idx="9">
                  <c:v>4.2</c:v>
                </c:pt>
                <c:pt idx="10">
                  <c:v>10</c:v>
                </c:pt>
                <c:pt idx="11">
                  <c:v>3.9</c:v>
                </c:pt>
                <c:pt idx="12">
                  <c:v>6.6</c:v>
                </c:pt>
                <c:pt idx="13">
                  <c:v>4.2</c:v>
                </c:pt>
              </c:numCache>
            </c:numRef>
          </c:xVal>
          <c:yVal>
            <c:numRef>
              <c:f>Summary!$C$2:$C$15</c:f>
              <c:numCache>
                <c:formatCode>General</c:formatCode>
                <c:ptCount val="14"/>
                <c:pt idx="0">
                  <c:v>40.1</c:v>
                </c:pt>
                <c:pt idx="1">
                  <c:v>18</c:v>
                </c:pt>
                <c:pt idx="2">
                  <c:v>19.899999999999999</c:v>
                </c:pt>
                <c:pt idx="3">
                  <c:v>32.1</c:v>
                </c:pt>
                <c:pt idx="4">
                  <c:v>28.8</c:v>
                </c:pt>
                <c:pt idx="5">
                  <c:v>70.7</c:v>
                </c:pt>
                <c:pt idx="6">
                  <c:v>74</c:v>
                </c:pt>
                <c:pt idx="7">
                  <c:v>28.4</c:v>
                </c:pt>
                <c:pt idx="8">
                  <c:v>20.3</c:v>
                </c:pt>
                <c:pt idx="9">
                  <c:v>9.3000000000000007</c:v>
                </c:pt>
                <c:pt idx="10">
                  <c:v>16.5</c:v>
                </c:pt>
                <c:pt idx="11">
                  <c:v>59.2</c:v>
                </c:pt>
                <c:pt idx="12">
                  <c:v>42.2</c:v>
                </c:pt>
                <c:pt idx="13">
                  <c:v>40.700000000000003</c:v>
                </c:pt>
              </c:numCache>
            </c:numRef>
          </c:yVal>
          <c:smooth val="0"/>
          <c:extLst>
            <c:ext xmlns:c16="http://schemas.microsoft.com/office/drawing/2014/chart" uri="{C3380CC4-5D6E-409C-BE32-E72D297353CC}">
              <c16:uniqueId val="{00000000-5351-450B-A8A4-4BE72D375FBC}"/>
            </c:ext>
          </c:extLst>
        </c:ser>
        <c:dLbls>
          <c:showLegendKey val="0"/>
          <c:showVal val="0"/>
          <c:showCatName val="0"/>
          <c:showSerName val="0"/>
          <c:showPercent val="0"/>
          <c:showBubbleSize val="0"/>
        </c:dLbls>
        <c:axId val="798538079"/>
        <c:axId val="170499311"/>
      </c:scatterChart>
      <c:valAx>
        <c:axId val="798538079"/>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499311"/>
        <c:crosses val="autoZero"/>
        <c:crossBetween val="midCat"/>
      </c:valAx>
      <c:valAx>
        <c:axId val="170499311"/>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85380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Youth Unemployment Trend in Africa (2015-2023</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v>Youth Unemployment Trend</c:v>
          </c:tx>
          <c:spPr>
            <a:ln w="22225" cap="rnd">
              <a:solidFill>
                <a:schemeClr val="accent1"/>
              </a:solidFill>
            </a:ln>
            <a:effectLst>
              <a:glow rad="139700">
                <a:schemeClr val="accent1">
                  <a:satMod val="175000"/>
                  <a:alpha val="14000"/>
                </a:schemeClr>
              </a:glow>
            </a:effectLst>
          </c:spPr>
          <c:marker>
            <c:symbol val="none"/>
          </c:marker>
          <c:cat>
            <c:numRef>
              <c:f>Summary!$A$18:$I$18</c:f>
              <c:numCache>
                <c:formatCode>General</c:formatCode>
                <c:ptCount val="9"/>
                <c:pt idx="0">
                  <c:v>2015</c:v>
                </c:pt>
                <c:pt idx="1">
                  <c:v>2016</c:v>
                </c:pt>
                <c:pt idx="2">
                  <c:v>2017</c:v>
                </c:pt>
                <c:pt idx="3">
                  <c:v>2018</c:v>
                </c:pt>
                <c:pt idx="4">
                  <c:v>2019</c:v>
                </c:pt>
                <c:pt idx="5">
                  <c:v>2020</c:v>
                </c:pt>
                <c:pt idx="6">
                  <c:v>2021</c:v>
                </c:pt>
                <c:pt idx="7">
                  <c:v>2022</c:v>
                </c:pt>
                <c:pt idx="8">
                  <c:v>2023</c:v>
                </c:pt>
              </c:numCache>
            </c:numRef>
          </c:cat>
          <c:val>
            <c:numRef>
              <c:f>Summary!$A$19:$I$19</c:f>
              <c:numCache>
                <c:formatCode>General</c:formatCode>
                <c:ptCount val="9"/>
                <c:pt idx="0">
                  <c:v>9.1</c:v>
                </c:pt>
                <c:pt idx="1">
                  <c:v>8.6999999999999993</c:v>
                </c:pt>
                <c:pt idx="2">
                  <c:v>8.4</c:v>
                </c:pt>
                <c:pt idx="3">
                  <c:v>9</c:v>
                </c:pt>
                <c:pt idx="4">
                  <c:v>9</c:v>
                </c:pt>
                <c:pt idx="5">
                  <c:v>8.6</c:v>
                </c:pt>
                <c:pt idx="6">
                  <c:v>8.3000000000000007</c:v>
                </c:pt>
                <c:pt idx="7">
                  <c:v>8.6</c:v>
                </c:pt>
                <c:pt idx="8">
                  <c:v>8.3000000000000007</c:v>
                </c:pt>
              </c:numCache>
            </c:numRef>
          </c:val>
          <c:smooth val="0"/>
          <c:extLst>
            <c:ext xmlns:c16="http://schemas.microsoft.com/office/drawing/2014/chart" uri="{C3380CC4-5D6E-409C-BE32-E72D297353CC}">
              <c16:uniqueId val="{00000000-F9F6-4736-AF9A-E9D8BF0597EB}"/>
            </c:ext>
          </c:extLst>
        </c:ser>
        <c:dLbls>
          <c:showLegendKey val="0"/>
          <c:showVal val="0"/>
          <c:showCatName val="0"/>
          <c:showSerName val="0"/>
          <c:showPercent val="0"/>
          <c:showBubbleSize val="0"/>
        </c:dLbls>
        <c:smooth val="0"/>
        <c:axId val="787356847"/>
        <c:axId val="170544431"/>
      </c:lineChart>
      <c:catAx>
        <c:axId val="78735684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544431"/>
        <c:crosses val="autoZero"/>
        <c:auto val="1"/>
        <c:lblAlgn val="ctr"/>
        <c:lblOffset val="100"/>
        <c:noMultiLvlLbl val="0"/>
      </c:catAx>
      <c:valAx>
        <c:axId val="1705444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7356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[Andre_Philip_Nyanjahia_Dataset (version 1).xlsx]PivotAnalysis!PivotTable3</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PivotAnalysis!$B$3:$B$4</c:f>
              <c:strCache>
                <c:ptCount val="1"/>
                <c:pt idx="0">
                  <c:v>Individuals using the Internet (% of population)</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29A-4AA7-B5A9-0157FC8F0A2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29A-4AA7-B5A9-0157FC8F0A26}"/>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29A-4AA7-B5A9-0157FC8F0A26}"/>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229A-4AA7-B5A9-0157FC8F0A26}"/>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229A-4AA7-B5A9-0157FC8F0A26}"/>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229A-4AA7-B5A9-0157FC8F0A26}"/>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229A-4AA7-B5A9-0157FC8F0A26}"/>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229A-4AA7-B5A9-0157FC8F0A26}"/>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229A-4AA7-B5A9-0157FC8F0A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PivotAnalysis!$A$5:$A$14</c:f>
              <c:strCache>
                <c:ptCount val="9"/>
                <c:pt idx="0">
                  <c:v>2015 [YR2015]</c:v>
                </c:pt>
                <c:pt idx="1">
                  <c:v>2016 [YR2016]</c:v>
                </c:pt>
                <c:pt idx="2">
                  <c:v>2017 [YR2017]</c:v>
                </c:pt>
                <c:pt idx="3">
                  <c:v>2018 [YR2018]</c:v>
                </c:pt>
                <c:pt idx="4">
                  <c:v>2019 [YR2019]</c:v>
                </c:pt>
                <c:pt idx="5">
                  <c:v>2020 [YR2020]</c:v>
                </c:pt>
                <c:pt idx="6">
                  <c:v>2021 [YR2021]</c:v>
                </c:pt>
                <c:pt idx="7">
                  <c:v>2022 [YR2022]</c:v>
                </c:pt>
                <c:pt idx="8">
                  <c:v>2023 [YR2023]</c:v>
                </c:pt>
              </c:strCache>
            </c:strRef>
          </c:cat>
          <c:val>
            <c:numRef>
              <c:f>PivotAnalysis!$B$5:$B$14</c:f>
              <c:numCache>
                <c:formatCode>0.0</c:formatCode>
                <c:ptCount val="9"/>
                <c:pt idx="0">
                  <c:v>21.700000760000002</c:v>
                </c:pt>
                <c:pt idx="1">
                  <c:v>25.664800639999999</c:v>
                </c:pt>
                <c:pt idx="2">
                  <c:v>29.643100740000001</c:v>
                </c:pt>
                <c:pt idx="3">
                  <c:v>35.299999239999998</c:v>
                </c:pt>
                <c:pt idx="4">
                  <c:v>43.379699709999997</c:v>
                </c:pt>
                <c:pt idx="5">
                  <c:v>53.308799739999998</c:v>
                </c:pt>
                <c:pt idx="6">
                  <c:v>55.040401459999998</c:v>
                </c:pt>
                <c:pt idx="7">
                  <c:v>56.828300480000003</c:v>
                </c:pt>
                <c:pt idx="8">
                  <c:v>59.187400820000001</c:v>
                </c:pt>
              </c:numCache>
            </c:numRef>
          </c:val>
          <c:extLst>
            <c:ext xmlns:c16="http://schemas.microsoft.com/office/drawing/2014/chart" uri="{C3380CC4-5D6E-409C-BE32-E72D297353CC}">
              <c16:uniqueId val="{00000012-229A-4AA7-B5A9-0157FC8F0A26}"/>
            </c:ext>
          </c:extLst>
        </c:ser>
        <c:ser>
          <c:idx val="1"/>
          <c:order val="1"/>
          <c:tx>
            <c:strRef>
              <c:f>PivotAnalysis!$C$3:$C$4</c:f>
              <c:strCache>
                <c:ptCount val="1"/>
                <c:pt idx="0">
                  <c:v>Unemployment, youth total (% of total labor force ages 15-24) (modeled ILO estimate)</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PivotAnalysis!$A$5:$A$14</c:f>
              <c:strCache>
                <c:ptCount val="9"/>
                <c:pt idx="0">
                  <c:v>2015 [YR2015]</c:v>
                </c:pt>
                <c:pt idx="1">
                  <c:v>2016 [YR2016]</c:v>
                </c:pt>
                <c:pt idx="2">
                  <c:v>2017 [YR2017]</c:v>
                </c:pt>
                <c:pt idx="3">
                  <c:v>2018 [YR2018]</c:v>
                </c:pt>
                <c:pt idx="4">
                  <c:v>2019 [YR2019]</c:v>
                </c:pt>
                <c:pt idx="5">
                  <c:v>2020 [YR2020]</c:v>
                </c:pt>
                <c:pt idx="6">
                  <c:v>2021 [YR2021]</c:v>
                </c:pt>
                <c:pt idx="7">
                  <c:v>2022 [YR2022]</c:v>
                </c:pt>
                <c:pt idx="8">
                  <c:v>2023 [YR2023]</c:v>
                </c:pt>
              </c:strCache>
            </c:strRef>
          </c:cat>
          <c:val>
            <c:numRef>
              <c:f>PivotAnalysis!$C$5:$C$14</c:f>
              <c:numCache>
                <c:formatCode>0.0</c:formatCode>
                <c:ptCount val="9"/>
                <c:pt idx="0">
                  <c:v>8.0449999999999999</c:v>
                </c:pt>
                <c:pt idx="1">
                  <c:v>6.3739999999999997</c:v>
                </c:pt>
                <c:pt idx="2">
                  <c:v>5.8360000000000003</c:v>
                </c:pt>
                <c:pt idx="3">
                  <c:v>4.92</c:v>
                </c:pt>
                <c:pt idx="4">
                  <c:v>4.0369999999999999</c:v>
                </c:pt>
                <c:pt idx="5">
                  <c:v>4.8170000000000002</c:v>
                </c:pt>
                <c:pt idx="6">
                  <c:v>4.6609999999999996</c:v>
                </c:pt>
                <c:pt idx="7">
                  <c:v>3.9020000000000001</c:v>
                </c:pt>
                <c:pt idx="8">
                  <c:v>3.859</c:v>
                </c:pt>
              </c:numCache>
            </c:numRef>
          </c:val>
          <c:extLst>
            <c:ext xmlns:c16="http://schemas.microsoft.com/office/drawing/2014/chart" uri="{C3380CC4-5D6E-409C-BE32-E72D297353CC}">
              <c16:uniqueId val="{00000015-229A-4AA7-B5A9-0157FC8F0A2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[Andre_Philip_Nyanjahia_Dataset (version 1).xlsx]PivotAnalysis!PivotTable3</c:name>
    <c:fmtId val="1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508544458949384E-2"/>
          <c:y val="0.19983816252217484"/>
          <c:w val="0.69820319253041596"/>
          <c:h val="0.63028912887865296"/>
        </c:manualLayout>
      </c:layout>
      <c:barChart>
        <c:barDir val="col"/>
        <c:grouping val="clustered"/>
        <c:varyColors val="0"/>
        <c:ser>
          <c:idx val="0"/>
          <c:order val="0"/>
          <c:tx>
            <c:strRef>
              <c:f>PivotAnalysis!$B$3:$B$4</c:f>
              <c:strCache>
                <c:ptCount val="1"/>
                <c:pt idx="0">
                  <c:v>Individuals using the Internet (% of population)</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PivotAnalysis!$A$5:$A$14</c:f>
              <c:strCache>
                <c:ptCount val="9"/>
                <c:pt idx="0">
                  <c:v>2015 [YR2015]</c:v>
                </c:pt>
                <c:pt idx="1">
                  <c:v>2016 [YR2016]</c:v>
                </c:pt>
                <c:pt idx="2">
                  <c:v>2017 [YR2017]</c:v>
                </c:pt>
                <c:pt idx="3">
                  <c:v>2018 [YR2018]</c:v>
                </c:pt>
                <c:pt idx="4">
                  <c:v>2019 [YR2019]</c:v>
                </c:pt>
                <c:pt idx="5">
                  <c:v>2020 [YR2020]</c:v>
                </c:pt>
                <c:pt idx="6">
                  <c:v>2021 [YR2021]</c:v>
                </c:pt>
                <c:pt idx="7">
                  <c:v>2022 [YR2022]</c:v>
                </c:pt>
                <c:pt idx="8">
                  <c:v>2023 [YR2023]</c:v>
                </c:pt>
              </c:strCache>
            </c:strRef>
          </c:cat>
          <c:val>
            <c:numRef>
              <c:f>PivotAnalysis!$B$5:$B$14</c:f>
              <c:numCache>
                <c:formatCode>0.0</c:formatCode>
                <c:ptCount val="9"/>
                <c:pt idx="0">
                  <c:v>21.700000760000002</c:v>
                </c:pt>
                <c:pt idx="1">
                  <c:v>25.664800639999999</c:v>
                </c:pt>
                <c:pt idx="2">
                  <c:v>29.643100740000001</c:v>
                </c:pt>
                <c:pt idx="3">
                  <c:v>35.299999239999998</c:v>
                </c:pt>
                <c:pt idx="4">
                  <c:v>43.379699709999997</c:v>
                </c:pt>
                <c:pt idx="5">
                  <c:v>53.308799739999998</c:v>
                </c:pt>
                <c:pt idx="6">
                  <c:v>55.040401459999998</c:v>
                </c:pt>
                <c:pt idx="7">
                  <c:v>56.828300480000003</c:v>
                </c:pt>
                <c:pt idx="8">
                  <c:v>59.187400820000001</c:v>
                </c:pt>
              </c:numCache>
            </c:numRef>
          </c:val>
          <c:extLst>
            <c:ext xmlns:c16="http://schemas.microsoft.com/office/drawing/2014/chart" uri="{C3380CC4-5D6E-409C-BE32-E72D297353CC}">
              <c16:uniqueId val="{00000000-8636-4F12-AD57-B305C3EE79B1}"/>
            </c:ext>
          </c:extLst>
        </c:ser>
        <c:ser>
          <c:idx val="1"/>
          <c:order val="1"/>
          <c:tx>
            <c:strRef>
              <c:f>PivotAnalysis!$C$3:$C$4</c:f>
              <c:strCache>
                <c:ptCount val="1"/>
                <c:pt idx="0">
                  <c:v>Unemployment, youth total (% of total labor force ages 15-24) (modeled ILO estimate)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delete val="1"/>
          </c:dLbls>
          <c:cat>
            <c:strRef>
              <c:f>PivotAnalysis!$A$5:$A$14</c:f>
              <c:strCache>
                <c:ptCount val="9"/>
                <c:pt idx="0">
                  <c:v>2015 [YR2015]</c:v>
                </c:pt>
                <c:pt idx="1">
                  <c:v>2016 [YR2016]</c:v>
                </c:pt>
                <c:pt idx="2">
                  <c:v>2017 [YR2017]</c:v>
                </c:pt>
                <c:pt idx="3">
                  <c:v>2018 [YR2018]</c:v>
                </c:pt>
                <c:pt idx="4">
                  <c:v>2019 [YR2019]</c:v>
                </c:pt>
                <c:pt idx="5">
                  <c:v>2020 [YR2020]</c:v>
                </c:pt>
                <c:pt idx="6">
                  <c:v>2021 [YR2021]</c:v>
                </c:pt>
                <c:pt idx="7">
                  <c:v>2022 [YR2022]</c:v>
                </c:pt>
                <c:pt idx="8">
                  <c:v>2023 [YR2023]</c:v>
                </c:pt>
              </c:strCache>
            </c:strRef>
          </c:cat>
          <c:val>
            <c:numRef>
              <c:f>PivotAnalysis!$C$5:$C$14</c:f>
              <c:numCache>
                <c:formatCode>0.0</c:formatCode>
                <c:ptCount val="9"/>
                <c:pt idx="0">
                  <c:v>8.0449999999999999</c:v>
                </c:pt>
                <c:pt idx="1">
                  <c:v>6.3739999999999997</c:v>
                </c:pt>
                <c:pt idx="2">
                  <c:v>5.8360000000000003</c:v>
                </c:pt>
                <c:pt idx="3">
                  <c:v>4.92</c:v>
                </c:pt>
                <c:pt idx="4">
                  <c:v>4.0369999999999999</c:v>
                </c:pt>
                <c:pt idx="5">
                  <c:v>4.8170000000000002</c:v>
                </c:pt>
                <c:pt idx="6">
                  <c:v>4.6609999999999996</c:v>
                </c:pt>
                <c:pt idx="7">
                  <c:v>3.9020000000000001</c:v>
                </c:pt>
                <c:pt idx="8">
                  <c:v>3.859</c:v>
                </c:pt>
              </c:numCache>
            </c:numRef>
          </c:val>
          <c:extLst>
            <c:ext xmlns:c16="http://schemas.microsoft.com/office/drawing/2014/chart" uri="{C3380CC4-5D6E-409C-BE32-E72D297353CC}">
              <c16:uniqueId val="{00000003-8636-4F12-AD57-B305C3EE79B1}"/>
            </c:ext>
          </c:extLst>
        </c:ser>
        <c:dLbls>
          <c:dLblPos val="inEnd"/>
          <c:showLegendKey val="0"/>
          <c:showVal val="1"/>
          <c:showCatName val="0"/>
          <c:showSerName val="0"/>
          <c:showPercent val="0"/>
          <c:showBubbleSize val="0"/>
        </c:dLbls>
        <c:gapWidth val="315"/>
        <c:overlap val="-40"/>
        <c:axId val="864862879"/>
        <c:axId val="170490671"/>
      </c:barChart>
      <c:catAx>
        <c:axId val="86486287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490671"/>
        <c:crosses val="autoZero"/>
        <c:auto val="1"/>
        <c:lblAlgn val="ctr"/>
        <c:lblOffset val="100"/>
        <c:noMultiLvlLbl val="0"/>
      </c:catAx>
      <c:valAx>
        <c:axId val="1704906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64862879"/>
        <c:crosses val="autoZero"/>
        <c:crossBetween val="between"/>
      </c:valAx>
      <c:spPr>
        <a:noFill/>
        <a:ln>
          <a:noFill/>
        </a:ln>
        <a:effectLst/>
      </c:spPr>
    </c:plotArea>
    <c:legend>
      <c:legendPos val="r"/>
      <c:layout>
        <c:manualLayout>
          <c:xMode val="edge"/>
          <c:yMode val="edge"/>
          <c:x val="0.74671423761452171"/>
          <c:y val="0.40069061031402697"/>
          <c:w val="0.24578388691661104"/>
          <c:h val="0.276798418972332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[Andre_Philip_Nyanjahia_Dataset (version 1).xlsx]PivotAnalysis!PivotTable3</c:name>
    <c:fmtId val="2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788447879514579E-2"/>
          <c:y val="0.25464802364820677"/>
          <c:w val="0.63238758588736044"/>
          <c:h val="0.56607345593428726"/>
        </c:manualLayout>
      </c:layout>
      <c:lineChart>
        <c:grouping val="standard"/>
        <c:varyColors val="0"/>
        <c:ser>
          <c:idx val="0"/>
          <c:order val="0"/>
          <c:tx>
            <c:strRef>
              <c:f>PivotAnalysis!$B$3:$B$4</c:f>
              <c:strCache>
                <c:ptCount val="1"/>
                <c:pt idx="0">
                  <c:v>Individuals using the Internet (% of population)</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PivotAnalysis!$A$5:$A$14</c:f>
              <c:strCache>
                <c:ptCount val="9"/>
                <c:pt idx="0">
                  <c:v>2015 [YR2015]</c:v>
                </c:pt>
                <c:pt idx="1">
                  <c:v>2016 [YR2016]</c:v>
                </c:pt>
                <c:pt idx="2">
                  <c:v>2017 [YR2017]</c:v>
                </c:pt>
                <c:pt idx="3">
                  <c:v>2018 [YR2018]</c:v>
                </c:pt>
                <c:pt idx="4">
                  <c:v>2019 [YR2019]</c:v>
                </c:pt>
                <c:pt idx="5">
                  <c:v>2020 [YR2020]</c:v>
                </c:pt>
                <c:pt idx="6">
                  <c:v>2021 [YR2021]</c:v>
                </c:pt>
                <c:pt idx="7">
                  <c:v>2022 [YR2022]</c:v>
                </c:pt>
                <c:pt idx="8">
                  <c:v>2023 [YR2023]</c:v>
                </c:pt>
              </c:strCache>
            </c:strRef>
          </c:cat>
          <c:val>
            <c:numRef>
              <c:f>PivotAnalysis!$B$5:$B$14</c:f>
              <c:numCache>
                <c:formatCode>0.0</c:formatCode>
                <c:ptCount val="9"/>
                <c:pt idx="0">
                  <c:v>21.700000760000002</c:v>
                </c:pt>
                <c:pt idx="1">
                  <c:v>25.664800639999999</c:v>
                </c:pt>
                <c:pt idx="2">
                  <c:v>29.643100740000001</c:v>
                </c:pt>
                <c:pt idx="3">
                  <c:v>35.299999239999998</c:v>
                </c:pt>
                <c:pt idx="4">
                  <c:v>43.379699709999997</c:v>
                </c:pt>
                <c:pt idx="5">
                  <c:v>53.308799739999998</c:v>
                </c:pt>
                <c:pt idx="6">
                  <c:v>55.040401459999998</c:v>
                </c:pt>
                <c:pt idx="7">
                  <c:v>56.828300480000003</c:v>
                </c:pt>
                <c:pt idx="8">
                  <c:v>59.187400820000001</c:v>
                </c:pt>
              </c:numCache>
            </c:numRef>
          </c:val>
          <c:smooth val="0"/>
          <c:extLst>
            <c:ext xmlns:c16="http://schemas.microsoft.com/office/drawing/2014/chart" uri="{C3380CC4-5D6E-409C-BE32-E72D297353CC}">
              <c16:uniqueId val="{00000000-7D6C-4AC8-AC74-2306BCE0370A}"/>
            </c:ext>
          </c:extLst>
        </c:ser>
        <c:ser>
          <c:idx val="1"/>
          <c:order val="1"/>
          <c:tx>
            <c:strRef>
              <c:f>PivotAnalysis!$C$3:$C$4</c:f>
              <c:strCache>
                <c:ptCount val="1"/>
                <c:pt idx="0">
                  <c:v>Unemployment, youth total (% of total labor force ages 15-24) (modeled ILO estimate)</c:v>
                </c:pt>
              </c:strCache>
            </c:strRef>
          </c:tx>
          <c:spPr>
            <a:ln w="22225" cap="rnd">
              <a:solidFill>
                <a:schemeClr val="accent2"/>
              </a:solidFill>
            </a:ln>
            <a:effectLst>
              <a:glow rad="139700">
                <a:schemeClr val="accent2">
                  <a:satMod val="175000"/>
                  <a:alpha val="14000"/>
                </a:schemeClr>
              </a:glow>
            </a:effectLst>
          </c:spPr>
          <c:marker>
            <c:symbol val="none"/>
          </c:marker>
          <c:cat>
            <c:strRef>
              <c:f>PivotAnalysis!$A$5:$A$14</c:f>
              <c:strCache>
                <c:ptCount val="9"/>
                <c:pt idx="0">
                  <c:v>2015 [YR2015]</c:v>
                </c:pt>
                <c:pt idx="1">
                  <c:v>2016 [YR2016]</c:v>
                </c:pt>
                <c:pt idx="2">
                  <c:v>2017 [YR2017]</c:v>
                </c:pt>
                <c:pt idx="3">
                  <c:v>2018 [YR2018]</c:v>
                </c:pt>
                <c:pt idx="4">
                  <c:v>2019 [YR2019]</c:v>
                </c:pt>
                <c:pt idx="5">
                  <c:v>2020 [YR2020]</c:v>
                </c:pt>
                <c:pt idx="6">
                  <c:v>2021 [YR2021]</c:v>
                </c:pt>
                <c:pt idx="7">
                  <c:v>2022 [YR2022]</c:v>
                </c:pt>
                <c:pt idx="8">
                  <c:v>2023 [YR2023]</c:v>
                </c:pt>
              </c:strCache>
            </c:strRef>
          </c:cat>
          <c:val>
            <c:numRef>
              <c:f>PivotAnalysis!$C$5:$C$14</c:f>
              <c:numCache>
                <c:formatCode>0.0</c:formatCode>
                <c:ptCount val="9"/>
                <c:pt idx="0">
                  <c:v>8.0449999999999999</c:v>
                </c:pt>
                <c:pt idx="1">
                  <c:v>6.3739999999999997</c:v>
                </c:pt>
                <c:pt idx="2">
                  <c:v>5.8360000000000003</c:v>
                </c:pt>
                <c:pt idx="3">
                  <c:v>4.92</c:v>
                </c:pt>
                <c:pt idx="4">
                  <c:v>4.0369999999999999</c:v>
                </c:pt>
                <c:pt idx="5">
                  <c:v>4.8170000000000002</c:v>
                </c:pt>
                <c:pt idx="6">
                  <c:v>4.6609999999999996</c:v>
                </c:pt>
                <c:pt idx="7">
                  <c:v>3.9020000000000001</c:v>
                </c:pt>
                <c:pt idx="8">
                  <c:v>3.859</c:v>
                </c:pt>
              </c:numCache>
            </c:numRef>
          </c:val>
          <c:smooth val="0"/>
          <c:extLst>
            <c:ext xmlns:c16="http://schemas.microsoft.com/office/drawing/2014/chart" uri="{C3380CC4-5D6E-409C-BE32-E72D297353CC}">
              <c16:uniqueId val="{00000003-7D6C-4AC8-AC74-2306BCE0370A}"/>
            </c:ext>
          </c:extLst>
        </c:ser>
        <c:dLbls>
          <c:showLegendKey val="0"/>
          <c:showVal val="0"/>
          <c:showCatName val="0"/>
          <c:showSerName val="0"/>
          <c:showPercent val="0"/>
          <c:showBubbleSize val="0"/>
        </c:dLbls>
        <c:marker val="1"/>
        <c:smooth val="0"/>
        <c:axId val="172984687"/>
        <c:axId val="170535311"/>
      </c:lineChart>
      <c:catAx>
        <c:axId val="17298468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535311"/>
        <c:crosses val="autoZero"/>
        <c:auto val="1"/>
        <c:lblAlgn val="ctr"/>
        <c:lblOffset val="100"/>
        <c:noMultiLvlLbl val="0"/>
      </c:catAx>
      <c:valAx>
        <c:axId val="1705353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984687"/>
        <c:crosses val="autoZero"/>
        <c:crossBetween val="between"/>
      </c:valAx>
      <c:spPr>
        <a:noFill/>
        <a:ln>
          <a:noFill/>
        </a:ln>
        <a:effectLst/>
      </c:spPr>
    </c:plotArea>
    <c:legend>
      <c:legendPos val="r"/>
      <c:layout>
        <c:manualLayout>
          <c:xMode val="edge"/>
          <c:yMode val="edge"/>
          <c:x val="0.73875540654411409"/>
          <c:y val="0.33679310435032828"/>
          <c:w val="0.25154527240835922"/>
          <c:h val="0.388803986710963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629644</xdr:colOff>
      <xdr:row>22</xdr:row>
      <xdr:rowOff>37579</xdr:rowOff>
    </xdr:from>
    <xdr:to>
      <xdr:col>4</xdr:col>
      <xdr:colOff>407096</xdr:colOff>
      <xdr:row>43</xdr:row>
      <xdr:rowOff>114822</xdr:rowOff>
    </xdr:to>
    <xdr:graphicFrame macro="">
      <xdr:nvGraphicFramePr>
        <xdr:cNvPr id="2" name="Chart 1">
          <a:extLst>
            <a:ext uri="{FF2B5EF4-FFF2-40B4-BE49-F238E27FC236}">
              <a16:creationId xmlns:a16="http://schemas.microsoft.com/office/drawing/2014/main" id="{C7E8F1E0-08FC-4855-9222-796C9F29C6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634443</xdr:colOff>
      <xdr:row>22</xdr:row>
      <xdr:rowOff>6263</xdr:rowOff>
    </xdr:from>
    <xdr:to>
      <xdr:col>13</xdr:col>
      <xdr:colOff>668056</xdr:colOff>
      <xdr:row>43</xdr:row>
      <xdr:rowOff>20877</xdr:rowOff>
    </xdr:to>
    <xdr:graphicFrame macro="">
      <xdr:nvGraphicFramePr>
        <xdr:cNvPr id="3" name="Chart 2">
          <a:extLst>
            <a:ext uri="{FF2B5EF4-FFF2-40B4-BE49-F238E27FC236}">
              <a16:creationId xmlns:a16="http://schemas.microsoft.com/office/drawing/2014/main" id="{16AE1A68-E666-830B-4CA3-59DAC4E086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43947</xdr:colOff>
      <xdr:row>1</xdr:row>
      <xdr:rowOff>160229</xdr:rowOff>
    </xdr:from>
    <xdr:to>
      <xdr:col>5</xdr:col>
      <xdr:colOff>254801</xdr:colOff>
      <xdr:row>14</xdr:row>
      <xdr:rowOff>184628</xdr:rowOff>
    </xdr:to>
    <mc:AlternateContent xmlns:mc="http://schemas.openxmlformats.org/markup-compatibility/2006">
      <mc:Choice xmlns:a14="http://schemas.microsoft.com/office/drawing/2010/main" Requires="a14">
        <xdr:graphicFrame macro="">
          <xdr:nvGraphicFramePr>
            <xdr:cNvPr id="9" name="Country Name">
              <a:extLst>
                <a:ext uri="{FF2B5EF4-FFF2-40B4-BE49-F238E27FC236}">
                  <a16:creationId xmlns:a16="http://schemas.microsoft.com/office/drawing/2014/main" id="{C8A8B805-D712-AFBB-5AB2-E56728AAA2ED}"/>
                </a:ext>
              </a:extLst>
            </xdr:cNvPr>
            <xdr:cNvGraphicFramePr/>
          </xdr:nvGraphicFramePr>
          <xdr:xfrm>
            <a:off x="0" y="0"/>
            <a:ext cx="0" cy="0"/>
          </xdr:xfrm>
          <a:graphic>
            <a:graphicData uri="http://schemas.microsoft.com/office/drawing/2010/slicer">
              <sle:slicer xmlns:sle="http://schemas.microsoft.com/office/drawing/2010/slicer" name="Country Name"/>
            </a:graphicData>
          </a:graphic>
        </xdr:graphicFrame>
      </mc:Choice>
      <mc:Fallback>
        <xdr:sp macro="" textlink="">
          <xdr:nvSpPr>
            <xdr:cNvPr id="0" name=""/>
            <xdr:cNvSpPr>
              <a:spLocks noTextEdit="1"/>
            </xdr:cNvSpPr>
          </xdr:nvSpPr>
          <xdr:spPr>
            <a:xfrm>
              <a:off x="9083563" y="348119"/>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645195</xdr:colOff>
      <xdr:row>1</xdr:row>
      <xdr:rowOff>94988</xdr:rowOff>
    </xdr:from>
    <xdr:to>
      <xdr:col>15</xdr:col>
      <xdr:colOff>1043836</xdr:colOff>
      <xdr:row>20</xdr:row>
      <xdr:rowOff>125260</xdr:rowOff>
    </xdr:to>
    <xdr:graphicFrame macro="">
      <xdr:nvGraphicFramePr>
        <xdr:cNvPr id="10" name="Chart 9">
          <a:extLst>
            <a:ext uri="{FF2B5EF4-FFF2-40B4-BE49-F238E27FC236}">
              <a16:creationId xmlns:a16="http://schemas.microsoft.com/office/drawing/2014/main" id="{4283EB8F-4C06-80EA-8390-06E7827C52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415866</xdr:colOff>
      <xdr:row>1</xdr:row>
      <xdr:rowOff>158037</xdr:rowOff>
    </xdr:from>
    <xdr:to>
      <xdr:col>7</xdr:col>
      <xdr:colOff>491023</xdr:colOff>
      <xdr:row>14</xdr:row>
      <xdr:rowOff>182436</xdr:rowOff>
    </xdr:to>
    <mc:AlternateContent xmlns:mc="http://schemas.openxmlformats.org/markup-compatibility/2006" xmlns:a14="http://schemas.microsoft.com/office/drawing/2010/main">
      <mc:Choice Requires="a14">
        <xdr:graphicFrame macro="">
          <xdr:nvGraphicFramePr>
            <xdr:cNvPr id="12" name="Series Name">
              <a:extLst>
                <a:ext uri="{FF2B5EF4-FFF2-40B4-BE49-F238E27FC236}">
                  <a16:creationId xmlns:a16="http://schemas.microsoft.com/office/drawing/2014/main" id="{A0017A04-BD58-32FA-9A8F-7279E1F2EF3B}"/>
                </a:ext>
              </a:extLst>
            </xdr:cNvPr>
            <xdr:cNvGraphicFramePr/>
          </xdr:nvGraphicFramePr>
          <xdr:xfrm>
            <a:off x="0" y="0"/>
            <a:ext cx="0" cy="0"/>
          </xdr:xfrm>
          <a:graphic>
            <a:graphicData uri="http://schemas.microsoft.com/office/drawing/2010/slicer">
              <sle:slicer xmlns:sle="http://schemas.microsoft.com/office/drawing/2010/slicer" name="Series Name"/>
            </a:graphicData>
          </a:graphic>
        </xdr:graphicFrame>
      </mc:Choice>
      <mc:Fallback xmlns="">
        <xdr:sp macro="" textlink="">
          <xdr:nvSpPr>
            <xdr:cNvPr id="0" name=""/>
            <xdr:cNvSpPr>
              <a:spLocks noTextEdit="1"/>
            </xdr:cNvSpPr>
          </xdr:nvSpPr>
          <xdr:spPr>
            <a:xfrm>
              <a:off x="6668441" y="345927"/>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315686</xdr:colOff>
      <xdr:row>20</xdr:row>
      <xdr:rowOff>132805</xdr:rowOff>
    </xdr:from>
    <xdr:to>
      <xdr:col>6</xdr:col>
      <xdr:colOff>244929</xdr:colOff>
      <xdr:row>33</xdr:row>
      <xdr:rowOff>117565</xdr:rowOff>
    </xdr:to>
    <xdr:graphicFrame macro="">
      <xdr:nvGraphicFramePr>
        <xdr:cNvPr id="3" name="Chart 2">
          <a:extLst>
            <a:ext uri="{FF2B5EF4-FFF2-40B4-BE49-F238E27FC236}">
              <a16:creationId xmlns:a16="http://schemas.microsoft.com/office/drawing/2014/main" id="{3E119090-7823-C743-1C8B-6BA82F9E48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10886</xdr:colOff>
      <xdr:row>19</xdr:row>
      <xdr:rowOff>72935</xdr:rowOff>
    </xdr:from>
    <xdr:to>
      <xdr:col>15</xdr:col>
      <xdr:colOff>317863</xdr:colOff>
      <xdr:row>34</xdr:row>
      <xdr:rowOff>72935</xdr:rowOff>
    </xdr:to>
    <xdr:graphicFrame macro="">
      <xdr:nvGraphicFramePr>
        <xdr:cNvPr id="4" name="Chart 3">
          <a:extLst>
            <a:ext uri="{FF2B5EF4-FFF2-40B4-BE49-F238E27FC236}">
              <a16:creationId xmlns:a16="http://schemas.microsoft.com/office/drawing/2014/main" id="{677BA841-107F-C087-E994-948D3D1B57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18505</xdr:colOff>
      <xdr:row>0</xdr:row>
      <xdr:rowOff>0</xdr:rowOff>
    </xdr:from>
    <xdr:to>
      <xdr:col>15</xdr:col>
      <xdr:colOff>323305</xdr:colOff>
      <xdr:row>15</xdr:row>
      <xdr:rowOff>0</xdr:rowOff>
    </xdr:to>
    <xdr:graphicFrame macro="">
      <xdr:nvGraphicFramePr>
        <xdr:cNvPr id="5" name="Chart 4">
          <a:extLst>
            <a:ext uri="{FF2B5EF4-FFF2-40B4-BE49-F238E27FC236}">
              <a16:creationId xmlns:a16="http://schemas.microsoft.com/office/drawing/2014/main" id="{D4507E6B-B2BD-FF67-DC10-EF6C9C2955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186963</xdr:colOff>
      <xdr:row>1</xdr:row>
      <xdr:rowOff>151311</xdr:rowOff>
    </xdr:from>
    <xdr:to>
      <xdr:col>23</xdr:col>
      <xdr:colOff>489858</xdr:colOff>
      <xdr:row>16</xdr:row>
      <xdr:rowOff>151311</xdr:rowOff>
    </xdr:to>
    <xdr:graphicFrame macro="">
      <xdr:nvGraphicFramePr>
        <xdr:cNvPr id="6" name="Chart 5">
          <a:extLst>
            <a:ext uri="{FF2B5EF4-FFF2-40B4-BE49-F238E27FC236}">
              <a16:creationId xmlns:a16="http://schemas.microsoft.com/office/drawing/2014/main" id="{54489D0F-358A-70FE-5450-726941DB17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19</xdr:row>
      <xdr:rowOff>0</xdr:rowOff>
    </xdr:from>
    <xdr:to>
      <xdr:col>4</xdr:col>
      <xdr:colOff>391886</xdr:colOff>
      <xdr:row>39</xdr:row>
      <xdr:rowOff>165100</xdr:rowOff>
    </xdr:to>
    <xdr:graphicFrame macro="">
      <xdr:nvGraphicFramePr>
        <xdr:cNvPr id="2" name="Chart 1">
          <a:extLst>
            <a:ext uri="{FF2B5EF4-FFF2-40B4-BE49-F238E27FC236}">
              <a16:creationId xmlns:a16="http://schemas.microsoft.com/office/drawing/2014/main" id="{3E273E9A-D30A-4873-901A-02AD4F919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435428</xdr:colOff>
      <xdr:row>19</xdr:row>
      <xdr:rowOff>0</xdr:rowOff>
    </xdr:from>
    <xdr:to>
      <xdr:col>13</xdr:col>
      <xdr:colOff>0</xdr:colOff>
      <xdr:row>39</xdr:row>
      <xdr:rowOff>139700</xdr:rowOff>
    </xdr:to>
    <xdr:graphicFrame macro="">
      <xdr:nvGraphicFramePr>
        <xdr:cNvPr id="3" name="Chart 2">
          <a:extLst>
            <a:ext uri="{FF2B5EF4-FFF2-40B4-BE49-F238E27FC236}">
              <a16:creationId xmlns:a16="http://schemas.microsoft.com/office/drawing/2014/main" id="{17AF5EEC-F72D-4FA7-A420-E58B746610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50800</xdr:colOff>
      <xdr:row>3</xdr:row>
      <xdr:rowOff>12700</xdr:rowOff>
    </xdr:from>
    <xdr:to>
      <xdr:col>7</xdr:col>
      <xdr:colOff>239486</xdr:colOff>
      <xdr:row>16</xdr:row>
      <xdr:rowOff>152399</xdr:rowOff>
    </xdr:to>
    <xdr:graphicFrame macro="">
      <xdr:nvGraphicFramePr>
        <xdr:cNvPr id="4" name="Chart 3">
          <a:extLst>
            <a:ext uri="{FF2B5EF4-FFF2-40B4-BE49-F238E27FC236}">
              <a16:creationId xmlns:a16="http://schemas.microsoft.com/office/drawing/2014/main" id="{21280A0A-C3B3-495E-A59D-62752A357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293918</xdr:colOff>
      <xdr:row>3</xdr:row>
      <xdr:rowOff>32658</xdr:rowOff>
    </xdr:from>
    <xdr:to>
      <xdr:col>13</xdr:col>
      <xdr:colOff>0</xdr:colOff>
      <xdr:row>16</xdr:row>
      <xdr:rowOff>152399</xdr:rowOff>
    </xdr:to>
    <xdr:graphicFrame macro="">
      <xdr:nvGraphicFramePr>
        <xdr:cNvPr id="5" name="Chart 4">
          <a:extLst>
            <a:ext uri="{FF2B5EF4-FFF2-40B4-BE49-F238E27FC236}">
              <a16:creationId xmlns:a16="http://schemas.microsoft.com/office/drawing/2014/main" id="{9FFE59CE-EB4D-4468-9647-7A654B7A3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0</xdr:colOff>
      <xdr:row>3</xdr:row>
      <xdr:rowOff>0</xdr:rowOff>
    </xdr:from>
    <xdr:to>
      <xdr:col>17</xdr:col>
      <xdr:colOff>0</xdr:colOff>
      <xdr:row>18</xdr:row>
      <xdr:rowOff>88900</xdr:rowOff>
    </xdr:to>
    <mc:AlternateContent xmlns:mc="http://schemas.openxmlformats.org/markup-compatibility/2006">
      <mc:Choice xmlns:a14="http://schemas.microsoft.com/office/drawing/2010/main" Requires="a14">
        <xdr:graphicFrame macro="">
          <xdr:nvGraphicFramePr>
            <xdr:cNvPr id="6" name="Country Name 1">
              <a:extLst>
                <a:ext uri="{FF2B5EF4-FFF2-40B4-BE49-F238E27FC236}">
                  <a16:creationId xmlns:a16="http://schemas.microsoft.com/office/drawing/2014/main" id="{EE7093FF-6C75-44AA-901C-8EC1A8EDB287}"/>
                </a:ext>
              </a:extLst>
            </xdr:cNvPr>
            <xdr:cNvGraphicFramePr/>
          </xdr:nvGraphicFramePr>
          <xdr:xfrm>
            <a:off x="0" y="0"/>
            <a:ext cx="0" cy="0"/>
          </xdr:xfrm>
          <a:graphic>
            <a:graphicData uri="http://schemas.microsoft.com/office/drawing/2010/slicer">
              <sle:slicer xmlns:sle="http://schemas.microsoft.com/office/drawing/2010/slicer" name="Country Name 1"/>
            </a:graphicData>
          </a:graphic>
        </xdr:graphicFrame>
      </mc:Choice>
      <mc:Fallback>
        <xdr:sp macro="" textlink="">
          <xdr:nvSpPr>
            <xdr:cNvPr id="0" name=""/>
            <xdr:cNvSpPr>
              <a:spLocks noTextEdit="1"/>
            </xdr:cNvSpPr>
          </xdr:nvSpPr>
          <xdr:spPr>
            <a:xfrm>
              <a:off x="10274300" y="749300"/>
              <a:ext cx="1828800" cy="326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76200</xdr:colOff>
      <xdr:row>3</xdr:row>
      <xdr:rowOff>10886</xdr:rowOff>
    </xdr:from>
    <xdr:to>
      <xdr:col>19</xdr:col>
      <xdr:colOff>54428</xdr:colOff>
      <xdr:row>18</xdr:row>
      <xdr:rowOff>88900</xdr:rowOff>
    </xdr:to>
    <mc:AlternateContent xmlns:mc="http://schemas.openxmlformats.org/markup-compatibility/2006">
      <mc:Choice xmlns:a14="http://schemas.microsoft.com/office/drawing/2010/main" Requires="a14">
        <xdr:graphicFrame macro="">
          <xdr:nvGraphicFramePr>
            <xdr:cNvPr id="7" name="Series Name 1">
              <a:extLst>
                <a:ext uri="{FF2B5EF4-FFF2-40B4-BE49-F238E27FC236}">
                  <a16:creationId xmlns:a16="http://schemas.microsoft.com/office/drawing/2014/main" id="{5F5CE818-9B30-4608-8E78-B2307D48DB01}"/>
                </a:ext>
              </a:extLst>
            </xdr:cNvPr>
            <xdr:cNvGraphicFramePr/>
          </xdr:nvGraphicFramePr>
          <xdr:xfrm>
            <a:off x="0" y="0"/>
            <a:ext cx="0" cy="0"/>
          </xdr:xfrm>
          <a:graphic>
            <a:graphicData uri="http://schemas.microsoft.com/office/drawing/2010/slicer">
              <sle:slicer xmlns:sle="http://schemas.microsoft.com/office/drawing/2010/slicer" name="Series Name 1"/>
            </a:graphicData>
          </a:graphic>
        </xdr:graphicFrame>
      </mc:Choice>
      <mc:Fallback>
        <xdr:sp macro="" textlink="">
          <xdr:nvSpPr>
            <xdr:cNvPr id="0" name=""/>
            <xdr:cNvSpPr>
              <a:spLocks noTextEdit="1"/>
            </xdr:cNvSpPr>
          </xdr:nvSpPr>
          <xdr:spPr>
            <a:xfrm>
              <a:off x="12179300" y="760186"/>
              <a:ext cx="1197428" cy="32530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38101</xdr:colOff>
      <xdr:row>18</xdr:row>
      <xdr:rowOff>139700</xdr:rowOff>
    </xdr:from>
    <xdr:to>
      <xdr:col>22</xdr:col>
      <xdr:colOff>584201</xdr:colOff>
      <xdr:row>39</xdr:row>
      <xdr:rowOff>168729</xdr:rowOff>
    </xdr:to>
    <xdr:graphicFrame macro="">
      <xdr:nvGraphicFramePr>
        <xdr:cNvPr id="8" name="Chart 7">
          <a:extLst>
            <a:ext uri="{FF2B5EF4-FFF2-40B4-BE49-F238E27FC236}">
              <a16:creationId xmlns:a16="http://schemas.microsoft.com/office/drawing/2014/main" id="{140AA7FB-62ED-4588-B768-CFE45B37FC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190500</xdr:colOff>
      <xdr:row>3</xdr:row>
      <xdr:rowOff>76201</xdr:rowOff>
    </xdr:from>
    <xdr:to>
      <xdr:col>35</xdr:col>
      <xdr:colOff>594360</xdr:colOff>
      <xdr:row>18</xdr:row>
      <xdr:rowOff>114301</xdr:rowOff>
    </xdr:to>
    <xdr:graphicFrame macro="">
      <xdr:nvGraphicFramePr>
        <xdr:cNvPr id="10" name="Chart 9">
          <a:extLst>
            <a:ext uri="{FF2B5EF4-FFF2-40B4-BE49-F238E27FC236}">
              <a16:creationId xmlns:a16="http://schemas.microsoft.com/office/drawing/2014/main" id="{00009F99-ABA9-4CAA-AA90-C3A8617FA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38100</xdr:colOff>
      <xdr:row>18</xdr:row>
      <xdr:rowOff>165100</xdr:rowOff>
    </xdr:from>
    <xdr:to>
      <xdr:col>35</xdr:col>
      <xdr:colOff>579120</xdr:colOff>
      <xdr:row>40</xdr:row>
      <xdr:rowOff>0</xdr:rowOff>
    </xdr:to>
    <xdr:graphicFrame macro="">
      <xdr:nvGraphicFramePr>
        <xdr:cNvPr id="11" name="Chart 10">
          <a:extLst>
            <a:ext uri="{FF2B5EF4-FFF2-40B4-BE49-F238E27FC236}">
              <a16:creationId xmlns:a16="http://schemas.microsoft.com/office/drawing/2014/main" id="{85630830-05EC-4A78-A877-E888DB2DE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 Philip Nyanjahia" refreshedDate="46281.20733553241" createdVersion="8" refreshedVersion="8" minRefreshableVersion="3" recordCount="252" xr:uid="{D39CD5A9-2042-4CC6-8063-60E2CB20B97A}">
  <cacheSource type="worksheet">
    <worksheetSource name="Table1_1"/>
  </cacheSource>
  <cacheFields count="4">
    <cacheField name="Country Name" numFmtId="0">
      <sharedItems count="14">
        <s v="Nigeria"/>
        <s v="Malawi"/>
        <s v="Mozambique"/>
        <s v="Kenya"/>
        <s v="Rwanda"/>
        <s v="Ghana"/>
        <s v="Egypt, Arab Rep."/>
        <s v="Tanzania"/>
        <s v="Ethiopia"/>
        <s v="Uganda"/>
        <s v="Zambia"/>
        <s v="Senegal"/>
        <s v="Cameroon"/>
        <s v="Cote d'Ivoire"/>
      </sharedItems>
    </cacheField>
    <cacheField name="Series Name" numFmtId="0">
      <sharedItems count="2">
        <s v="Unemployment, youth total (% of total labor force ages 15-24) (modeled ILO estimate)"/>
        <s v="Individuals using the Internet (% of population)"/>
      </sharedItems>
    </cacheField>
    <cacheField name="Attribute" numFmtId="0">
      <sharedItems count="9">
        <s v="2015 [YR2015]"/>
        <s v="2016 [YR2016]"/>
        <s v="2017 [YR2017]"/>
        <s v="2018 [YR2018]"/>
        <s v="2019 [YR2019]"/>
        <s v="2020 [YR2020]"/>
        <s v="2021 [YR2021]"/>
        <s v="2022 [YR2022]"/>
        <s v="2023 [YR2023]"/>
      </sharedItems>
    </cacheField>
    <cacheField name="Value" numFmtId="0">
      <sharedItems containsSemiMixedTypes="0" containsString="0" containsNumber="1" minValue="2.04" maxValue="74.011901859999995" count="249">
        <n v="8.4570000000000007"/>
        <n v="9.1"/>
        <n v="9.7070000000000007"/>
        <n v="10.138"/>
        <n v="10.417999999999999"/>
        <n v="10.842000000000001"/>
        <n v="8.9909999999999997"/>
        <n v="6.024"/>
        <n v="5.1310000000000002"/>
        <n v="22.514200209999998"/>
        <n v="24.137500760000002"/>
        <n v="25.877899169999999"/>
        <n v="27.743700029999999"/>
        <n v="29.744100570000001"/>
        <n v="31.888799670000001"/>
        <n v="35.509799960000002"/>
        <n v="39.147201539999998"/>
        <n v="40.063999180000003"/>
        <n v="6.75"/>
        <n v="6.819"/>
        <n v="6.8650000000000002"/>
        <n v="6.8529999999999998"/>
        <n v="6.8120000000000003"/>
        <n v="7.8310000000000004"/>
        <n v="7.6319999999999997"/>
        <n v="6.8479999999999999"/>
        <n v="6.8419999999999996"/>
        <n v="6"/>
        <n v="6.3000001909999996"/>
        <n v="7"/>
        <n v="8.7982997889999996"/>
        <n v="11.05860043"/>
        <n v="13.89949989"/>
        <n v="15.303000450000001"/>
        <n v="16.848300930000001"/>
        <n v="17.988103460000001"/>
        <n v="7.0970000000000004"/>
        <n v="7.4009999999999998"/>
        <n v="7.798"/>
        <n v="8.173"/>
        <n v="8.5109999999999992"/>
        <n v="9.8360000000000003"/>
        <n v="11.619"/>
        <n v="11.471"/>
        <n v="6.5"/>
        <n v="7.7963266079129001"/>
        <n v="10.899999619999999"/>
        <n v="12.47929955"/>
        <n v="14.287400249999999"/>
        <n v="16.357599260000001"/>
        <n v="18.962200159999998"/>
        <n v="19.945600509999998"/>
        <n v="7.2990000000000004"/>
        <n v="7.3330000000000002"/>
        <n v="9.0969999999999995"/>
        <n v="10.818"/>
        <n v="12.547000000000001"/>
        <n v="13.619"/>
        <n v="12.231999999999999"/>
        <n v="15.488"/>
        <n v="15.164"/>
        <n v="16.5878548475992"/>
        <n v="16.600000000000001"/>
        <n v="17.82710075"/>
        <n v="19.5"/>
        <n v="22.668773361817099"/>
        <n v="24.722799299999998"/>
        <n v="26.96290016"/>
        <n v="29.405899049999999"/>
        <n v="32.070400239999998"/>
        <n v="16.599"/>
        <n v="16.594999999999999"/>
        <n v="16.731999999999999"/>
        <n v="16.263999999999999"/>
        <n v="16.052"/>
        <n v="15.946999999999999"/>
        <n v="23.312000000000001"/>
        <n v="22.202999999999999"/>
        <n v="18.172000000000001"/>
        <n v="12.45600033"/>
        <n v="14.637100220000001"/>
        <n v="17.2"/>
        <n v="19.166599269999999"/>
        <n v="21.357999800000002"/>
        <n v="23.8"/>
        <n v="24.4416008"/>
        <n v="28.016799930000001"/>
        <n v="28.805799480000001"/>
        <n v="14.238"/>
        <n v="10.616"/>
        <n v="6.375"/>
        <n v="6.1070000000000002"/>
        <n v="5.875"/>
        <n v="6.319"/>
        <n v="5.9850000000000003"/>
        <n v="5.4020000000000001"/>
        <n v="5.3520000000000003"/>
        <n v="23"/>
        <n v="28"/>
        <n v="37.884201050000001"/>
        <n v="43"/>
        <n v="22.0732"/>
        <n v="62.51760101"/>
        <n v="68.599999999999994"/>
        <n v="69.913299559999999"/>
        <n v="70.674301150000005"/>
        <n v="34.159999999999997"/>
        <n v="33.655000000000001"/>
        <n v="32.643999999999998"/>
        <n v="26.251999999999999"/>
        <n v="20.631"/>
        <n v="18.463000000000001"/>
        <n v="18.21"/>
        <n v="16.341999999999999"/>
        <n v="17.152999999999999"/>
        <n v="37.8193834276939"/>
        <n v="41.248067088577201"/>
        <n v="44.950204245285697"/>
        <n v="46.924336767920003"/>
        <n v="57.282866399019497"/>
        <n v="71.914200960000002"/>
        <n v="72.055999760000006"/>
        <n v="72.198065560000003"/>
        <n v="74.011901859999995"/>
        <n v="3.4430000000000001"/>
        <n v="3.2410000000000001"/>
        <n v="3.0369999999999999"/>
        <n v="2.8460000000000001"/>
        <n v="2.657"/>
        <n v="2.746"/>
        <n v="2.7519999999999998"/>
        <n v="2.3439999999999999"/>
        <n v="2.339"/>
        <n v="10"/>
        <n v="13.504232846891901"/>
        <n v="14.46339989"/>
        <n v="15.490699770000001"/>
        <n v="16.590900420000001"/>
        <n v="19.481399540000002"/>
        <n v="22.875400540000001"/>
        <n v="26.860599520000001"/>
        <n v="28.43190002"/>
        <n v="3.8130000000000002"/>
        <n v="4.0309999999999997"/>
        <n v="4.25"/>
        <n v="4.5149999999999997"/>
        <n v="4.7519999999999998"/>
        <n v="6.3559999999999999"/>
        <n v="6.2460000000000004"/>
        <n v="5.45"/>
        <n v="5.4550000000000001"/>
        <n v="13.855175555555601"/>
        <n v="15.366923859589599"/>
        <n v="15.624400140000001"/>
        <n v="15.88619995"/>
        <n v="15.984600070000001"/>
        <n v="16.069599149999998"/>
        <n v="16.698103100000001"/>
        <n v="17.9836998"/>
        <n v="20.337499619999999"/>
        <n v="3.871"/>
        <n v="4.4109999999999996"/>
        <n v="5.0519999999999996"/>
        <n v="4.8840000000000003"/>
        <n v="4.6909999999999998"/>
        <n v="5.6879999999999997"/>
        <n v="5.04"/>
        <n v="4.335"/>
        <n v="4.2080000000000002"/>
        <n v="5.6999998090000004"/>
        <n v="5.9"/>
        <n v="7.4179000850000003"/>
        <n v="9.3262996670000007"/>
        <n v="11.72579956"/>
        <n v="7.4"/>
        <n v="9.6368999479999999"/>
        <n v="9.2869997019999992"/>
        <n v="12.364000000000001"/>
        <n v="10.506"/>
        <n v="8.5139999999999993"/>
        <n v="8.7449999999999992"/>
        <n v="10.348000000000001"/>
        <n v="11.042"/>
        <n v="9.3640000000000008"/>
        <n v="9.8490000000000002"/>
        <n v="10.038"/>
        <n v="8.8000000000000007"/>
        <n v="10.30000019"/>
        <n v="12.19999981"/>
        <n v="14.299997095001199"/>
        <n v="14.471899990000001"/>
        <n v="14.64579964"/>
        <n v="14.82190037"/>
        <n v="15"/>
        <n v="16.45070076"/>
        <n v="8.0449999999999999"/>
        <n v="6.3739999999999997"/>
        <n v="5.8360000000000003"/>
        <n v="4.92"/>
        <n v="4.0369999999999999"/>
        <n v="4.8170000000000002"/>
        <n v="4.6609999999999996"/>
        <n v="3.9020000000000001"/>
        <n v="3.859"/>
        <n v="21.700000760000002"/>
        <n v="25.664800639999999"/>
        <n v="29.643100740000001"/>
        <n v="35.299999239999998"/>
        <n v="43.379699709999997"/>
        <n v="53.308799739999998"/>
        <n v="55.040401459999998"/>
        <n v="56.828300480000003"/>
        <n v="59.187400820000001"/>
        <n v="6.2329999999999997"/>
        <n v="6.3010000000000002"/>
        <n v="6.407"/>
        <n v="6.5030000000000001"/>
        <n v="6.585"/>
        <n v="7.3710000000000004"/>
        <n v="7.2249999999999996"/>
        <n v="6.6669999999999998"/>
        <n v="6.6210000000000004"/>
        <n v="18.299999239999998"/>
        <n v="20.600000380000001"/>
        <n v="23.2029719748646"/>
        <n v="29.700000760000002"/>
        <n v="36.539199830000001"/>
        <n v="37.697498320000001"/>
        <n v="38.89260101"/>
        <n v="40.125598910000001"/>
        <n v="42.243801120000001"/>
        <n v="3.3759999999999999"/>
        <n v="2.04"/>
        <n v="5.2569999999999997"/>
        <n v="4.6669999999999998"/>
        <n v="4.0430000000000001"/>
        <n v="4.6870000000000003"/>
        <n v="4.7530000000000001"/>
        <n v="4.3040000000000003"/>
        <n v="4.2430000000000003"/>
        <n v="38.440000165461598"/>
        <n v="41.207814930441401"/>
        <n v="43.839920851487598"/>
        <n v="37.546536130128104"/>
        <n v="36.288954565520498"/>
        <n v="36.016601559999998"/>
        <n v="35.950698850000002"/>
        <n v="38.413281220000002"/>
        <n v="40.652849789999998"/>
      </sharedItems>
    </cacheField>
  </cacheFields>
  <extLst>
    <ext xmlns:x14="http://schemas.microsoft.com/office/spreadsheetml/2009/9/main" uri="{725AE2AE-9491-48be-B2B4-4EB974FC3084}">
      <x14:pivotCacheDefinition pivotCacheId="11697453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2">
  <r>
    <x v="0"/>
    <x v="0"/>
    <x v="0"/>
    <x v="0"/>
  </r>
  <r>
    <x v="0"/>
    <x v="0"/>
    <x v="1"/>
    <x v="1"/>
  </r>
  <r>
    <x v="0"/>
    <x v="0"/>
    <x v="2"/>
    <x v="2"/>
  </r>
  <r>
    <x v="0"/>
    <x v="0"/>
    <x v="3"/>
    <x v="3"/>
  </r>
  <r>
    <x v="0"/>
    <x v="0"/>
    <x v="4"/>
    <x v="4"/>
  </r>
  <r>
    <x v="0"/>
    <x v="0"/>
    <x v="5"/>
    <x v="5"/>
  </r>
  <r>
    <x v="0"/>
    <x v="0"/>
    <x v="6"/>
    <x v="6"/>
  </r>
  <r>
    <x v="0"/>
    <x v="0"/>
    <x v="7"/>
    <x v="7"/>
  </r>
  <r>
    <x v="0"/>
    <x v="0"/>
    <x v="8"/>
    <x v="8"/>
  </r>
  <r>
    <x v="0"/>
    <x v="1"/>
    <x v="0"/>
    <x v="9"/>
  </r>
  <r>
    <x v="0"/>
    <x v="1"/>
    <x v="1"/>
    <x v="10"/>
  </r>
  <r>
    <x v="0"/>
    <x v="1"/>
    <x v="2"/>
    <x v="11"/>
  </r>
  <r>
    <x v="0"/>
    <x v="1"/>
    <x v="3"/>
    <x v="12"/>
  </r>
  <r>
    <x v="0"/>
    <x v="1"/>
    <x v="4"/>
    <x v="13"/>
  </r>
  <r>
    <x v="0"/>
    <x v="1"/>
    <x v="5"/>
    <x v="14"/>
  </r>
  <r>
    <x v="0"/>
    <x v="1"/>
    <x v="6"/>
    <x v="15"/>
  </r>
  <r>
    <x v="0"/>
    <x v="1"/>
    <x v="7"/>
    <x v="16"/>
  </r>
  <r>
    <x v="0"/>
    <x v="1"/>
    <x v="8"/>
    <x v="17"/>
  </r>
  <r>
    <x v="1"/>
    <x v="0"/>
    <x v="0"/>
    <x v="18"/>
  </r>
  <r>
    <x v="1"/>
    <x v="0"/>
    <x v="1"/>
    <x v="19"/>
  </r>
  <r>
    <x v="1"/>
    <x v="0"/>
    <x v="2"/>
    <x v="20"/>
  </r>
  <r>
    <x v="1"/>
    <x v="0"/>
    <x v="3"/>
    <x v="21"/>
  </r>
  <r>
    <x v="1"/>
    <x v="0"/>
    <x v="4"/>
    <x v="22"/>
  </r>
  <r>
    <x v="1"/>
    <x v="0"/>
    <x v="5"/>
    <x v="23"/>
  </r>
  <r>
    <x v="1"/>
    <x v="0"/>
    <x v="6"/>
    <x v="24"/>
  </r>
  <r>
    <x v="1"/>
    <x v="0"/>
    <x v="7"/>
    <x v="25"/>
  </r>
  <r>
    <x v="1"/>
    <x v="0"/>
    <x v="8"/>
    <x v="26"/>
  </r>
  <r>
    <x v="1"/>
    <x v="1"/>
    <x v="0"/>
    <x v="27"/>
  </r>
  <r>
    <x v="1"/>
    <x v="1"/>
    <x v="1"/>
    <x v="28"/>
  </r>
  <r>
    <x v="1"/>
    <x v="1"/>
    <x v="2"/>
    <x v="29"/>
  </r>
  <r>
    <x v="1"/>
    <x v="1"/>
    <x v="3"/>
    <x v="30"/>
  </r>
  <r>
    <x v="1"/>
    <x v="1"/>
    <x v="4"/>
    <x v="31"/>
  </r>
  <r>
    <x v="1"/>
    <x v="1"/>
    <x v="5"/>
    <x v="32"/>
  </r>
  <r>
    <x v="1"/>
    <x v="1"/>
    <x v="6"/>
    <x v="33"/>
  </r>
  <r>
    <x v="1"/>
    <x v="1"/>
    <x v="7"/>
    <x v="34"/>
  </r>
  <r>
    <x v="1"/>
    <x v="1"/>
    <x v="8"/>
    <x v="35"/>
  </r>
  <r>
    <x v="2"/>
    <x v="0"/>
    <x v="0"/>
    <x v="36"/>
  </r>
  <r>
    <x v="2"/>
    <x v="0"/>
    <x v="1"/>
    <x v="37"/>
  </r>
  <r>
    <x v="2"/>
    <x v="0"/>
    <x v="2"/>
    <x v="38"/>
  </r>
  <r>
    <x v="2"/>
    <x v="0"/>
    <x v="3"/>
    <x v="39"/>
  </r>
  <r>
    <x v="2"/>
    <x v="0"/>
    <x v="4"/>
    <x v="40"/>
  </r>
  <r>
    <x v="2"/>
    <x v="0"/>
    <x v="5"/>
    <x v="2"/>
  </r>
  <r>
    <x v="2"/>
    <x v="0"/>
    <x v="6"/>
    <x v="41"/>
  </r>
  <r>
    <x v="2"/>
    <x v="0"/>
    <x v="7"/>
    <x v="42"/>
  </r>
  <r>
    <x v="2"/>
    <x v="0"/>
    <x v="8"/>
    <x v="43"/>
  </r>
  <r>
    <x v="2"/>
    <x v="1"/>
    <x v="0"/>
    <x v="44"/>
  </r>
  <r>
    <x v="2"/>
    <x v="1"/>
    <x v="1"/>
    <x v="29"/>
  </r>
  <r>
    <x v="2"/>
    <x v="1"/>
    <x v="2"/>
    <x v="45"/>
  </r>
  <r>
    <x v="2"/>
    <x v="1"/>
    <x v="3"/>
    <x v="46"/>
  </r>
  <r>
    <x v="2"/>
    <x v="1"/>
    <x v="4"/>
    <x v="47"/>
  </r>
  <r>
    <x v="2"/>
    <x v="1"/>
    <x v="5"/>
    <x v="48"/>
  </r>
  <r>
    <x v="2"/>
    <x v="1"/>
    <x v="6"/>
    <x v="49"/>
  </r>
  <r>
    <x v="2"/>
    <x v="1"/>
    <x v="7"/>
    <x v="50"/>
  </r>
  <r>
    <x v="2"/>
    <x v="1"/>
    <x v="8"/>
    <x v="51"/>
  </r>
  <r>
    <x v="3"/>
    <x v="0"/>
    <x v="0"/>
    <x v="52"/>
  </r>
  <r>
    <x v="3"/>
    <x v="0"/>
    <x v="1"/>
    <x v="53"/>
  </r>
  <r>
    <x v="3"/>
    <x v="0"/>
    <x v="2"/>
    <x v="54"/>
  </r>
  <r>
    <x v="3"/>
    <x v="0"/>
    <x v="3"/>
    <x v="55"/>
  </r>
  <r>
    <x v="3"/>
    <x v="0"/>
    <x v="4"/>
    <x v="56"/>
  </r>
  <r>
    <x v="3"/>
    <x v="0"/>
    <x v="5"/>
    <x v="57"/>
  </r>
  <r>
    <x v="3"/>
    <x v="0"/>
    <x v="6"/>
    <x v="58"/>
  </r>
  <r>
    <x v="3"/>
    <x v="0"/>
    <x v="7"/>
    <x v="59"/>
  </r>
  <r>
    <x v="3"/>
    <x v="0"/>
    <x v="8"/>
    <x v="60"/>
  </r>
  <r>
    <x v="3"/>
    <x v="1"/>
    <x v="0"/>
    <x v="61"/>
  </r>
  <r>
    <x v="3"/>
    <x v="1"/>
    <x v="1"/>
    <x v="62"/>
  </r>
  <r>
    <x v="3"/>
    <x v="1"/>
    <x v="2"/>
    <x v="63"/>
  </r>
  <r>
    <x v="3"/>
    <x v="1"/>
    <x v="3"/>
    <x v="64"/>
  </r>
  <r>
    <x v="3"/>
    <x v="1"/>
    <x v="4"/>
    <x v="65"/>
  </r>
  <r>
    <x v="3"/>
    <x v="1"/>
    <x v="5"/>
    <x v="66"/>
  </r>
  <r>
    <x v="3"/>
    <x v="1"/>
    <x v="6"/>
    <x v="67"/>
  </r>
  <r>
    <x v="3"/>
    <x v="1"/>
    <x v="7"/>
    <x v="68"/>
  </r>
  <r>
    <x v="3"/>
    <x v="1"/>
    <x v="8"/>
    <x v="69"/>
  </r>
  <r>
    <x v="4"/>
    <x v="0"/>
    <x v="0"/>
    <x v="70"/>
  </r>
  <r>
    <x v="4"/>
    <x v="0"/>
    <x v="1"/>
    <x v="71"/>
  </r>
  <r>
    <x v="4"/>
    <x v="0"/>
    <x v="2"/>
    <x v="72"/>
  </r>
  <r>
    <x v="4"/>
    <x v="0"/>
    <x v="3"/>
    <x v="73"/>
  </r>
  <r>
    <x v="4"/>
    <x v="0"/>
    <x v="4"/>
    <x v="74"/>
  </r>
  <r>
    <x v="4"/>
    <x v="0"/>
    <x v="5"/>
    <x v="75"/>
  </r>
  <r>
    <x v="4"/>
    <x v="0"/>
    <x v="6"/>
    <x v="76"/>
  </r>
  <r>
    <x v="4"/>
    <x v="0"/>
    <x v="7"/>
    <x v="77"/>
  </r>
  <r>
    <x v="4"/>
    <x v="0"/>
    <x v="8"/>
    <x v="78"/>
  </r>
  <r>
    <x v="4"/>
    <x v="1"/>
    <x v="0"/>
    <x v="79"/>
  </r>
  <r>
    <x v="4"/>
    <x v="1"/>
    <x v="1"/>
    <x v="80"/>
  </r>
  <r>
    <x v="4"/>
    <x v="1"/>
    <x v="2"/>
    <x v="81"/>
  </r>
  <r>
    <x v="4"/>
    <x v="1"/>
    <x v="3"/>
    <x v="82"/>
  </r>
  <r>
    <x v="4"/>
    <x v="1"/>
    <x v="4"/>
    <x v="83"/>
  </r>
  <r>
    <x v="4"/>
    <x v="1"/>
    <x v="5"/>
    <x v="84"/>
  </r>
  <r>
    <x v="4"/>
    <x v="1"/>
    <x v="6"/>
    <x v="85"/>
  </r>
  <r>
    <x v="4"/>
    <x v="1"/>
    <x v="7"/>
    <x v="86"/>
  </r>
  <r>
    <x v="4"/>
    <x v="1"/>
    <x v="8"/>
    <x v="87"/>
  </r>
  <r>
    <x v="5"/>
    <x v="0"/>
    <x v="0"/>
    <x v="88"/>
  </r>
  <r>
    <x v="5"/>
    <x v="0"/>
    <x v="1"/>
    <x v="89"/>
  </r>
  <r>
    <x v="5"/>
    <x v="0"/>
    <x v="2"/>
    <x v="90"/>
  </r>
  <r>
    <x v="5"/>
    <x v="0"/>
    <x v="3"/>
    <x v="91"/>
  </r>
  <r>
    <x v="5"/>
    <x v="0"/>
    <x v="4"/>
    <x v="92"/>
  </r>
  <r>
    <x v="5"/>
    <x v="0"/>
    <x v="5"/>
    <x v="93"/>
  </r>
  <r>
    <x v="5"/>
    <x v="0"/>
    <x v="6"/>
    <x v="94"/>
  </r>
  <r>
    <x v="5"/>
    <x v="0"/>
    <x v="7"/>
    <x v="95"/>
  </r>
  <r>
    <x v="5"/>
    <x v="0"/>
    <x v="8"/>
    <x v="96"/>
  </r>
  <r>
    <x v="5"/>
    <x v="1"/>
    <x v="0"/>
    <x v="97"/>
  </r>
  <r>
    <x v="5"/>
    <x v="1"/>
    <x v="1"/>
    <x v="98"/>
  </r>
  <r>
    <x v="5"/>
    <x v="1"/>
    <x v="2"/>
    <x v="99"/>
  </r>
  <r>
    <x v="5"/>
    <x v="1"/>
    <x v="3"/>
    <x v="100"/>
  </r>
  <r>
    <x v="5"/>
    <x v="1"/>
    <x v="4"/>
    <x v="101"/>
  </r>
  <r>
    <x v="5"/>
    <x v="1"/>
    <x v="5"/>
    <x v="102"/>
  </r>
  <r>
    <x v="5"/>
    <x v="1"/>
    <x v="6"/>
    <x v="103"/>
  </r>
  <r>
    <x v="5"/>
    <x v="1"/>
    <x v="7"/>
    <x v="104"/>
  </r>
  <r>
    <x v="5"/>
    <x v="1"/>
    <x v="8"/>
    <x v="105"/>
  </r>
  <r>
    <x v="6"/>
    <x v="0"/>
    <x v="0"/>
    <x v="106"/>
  </r>
  <r>
    <x v="6"/>
    <x v="0"/>
    <x v="1"/>
    <x v="107"/>
  </r>
  <r>
    <x v="6"/>
    <x v="0"/>
    <x v="2"/>
    <x v="108"/>
  </r>
  <r>
    <x v="6"/>
    <x v="0"/>
    <x v="3"/>
    <x v="109"/>
  </r>
  <r>
    <x v="6"/>
    <x v="0"/>
    <x v="4"/>
    <x v="110"/>
  </r>
  <r>
    <x v="6"/>
    <x v="0"/>
    <x v="5"/>
    <x v="111"/>
  </r>
  <r>
    <x v="6"/>
    <x v="0"/>
    <x v="6"/>
    <x v="112"/>
  </r>
  <r>
    <x v="6"/>
    <x v="0"/>
    <x v="7"/>
    <x v="113"/>
  </r>
  <r>
    <x v="6"/>
    <x v="0"/>
    <x v="8"/>
    <x v="114"/>
  </r>
  <r>
    <x v="6"/>
    <x v="1"/>
    <x v="0"/>
    <x v="115"/>
  </r>
  <r>
    <x v="6"/>
    <x v="1"/>
    <x v="1"/>
    <x v="116"/>
  </r>
  <r>
    <x v="6"/>
    <x v="1"/>
    <x v="2"/>
    <x v="117"/>
  </r>
  <r>
    <x v="6"/>
    <x v="1"/>
    <x v="3"/>
    <x v="118"/>
  </r>
  <r>
    <x v="6"/>
    <x v="1"/>
    <x v="4"/>
    <x v="119"/>
  </r>
  <r>
    <x v="6"/>
    <x v="1"/>
    <x v="5"/>
    <x v="120"/>
  </r>
  <r>
    <x v="6"/>
    <x v="1"/>
    <x v="6"/>
    <x v="121"/>
  </r>
  <r>
    <x v="6"/>
    <x v="1"/>
    <x v="7"/>
    <x v="122"/>
  </r>
  <r>
    <x v="6"/>
    <x v="1"/>
    <x v="8"/>
    <x v="123"/>
  </r>
  <r>
    <x v="7"/>
    <x v="0"/>
    <x v="0"/>
    <x v="124"/>
  </r>
  <r>
    <x v="7"/>
    <x v="0"/>
    <x v="1"/>
    <x v="125"/>
  </r>
  <r>
    <x v="7"/>
    <x v="0"/>
    <x v="2"/>
    <x v="126"/>
  </r>
  <r>
    <x v="7"/>
    <x v="0"/>
    <x v="3"/>
    <x v="127"/>
  </r>
  <r>
    <x v="7"/>
    <x v="0"/>
    <x v="4"/>
    <x v="128"/>
  </r>
  <r>
    <x v="7"/>
    <x v="0"/>
    <x v="5"/>
    <x v="129"/>
  </r>
  <r>
    <x v="7"/>
    <x v="0"/>
    <x v="6"/>
    <x v="130"/>
  </r>
  <r>
    <x v="7"/>
    <x v="0"/>
    <x v="7"/>
    <x v="131"/>
  </r>
  <r>
    <x v="7"/>
    <x v="0"/>
    <x v="8"/>
    <x v="132"/>
  </r>
  <r>
    <x v="7"/>
    <x v="1"/>
    <x v="0"/>
    <x v="133"/>
  </r>
  <r>
    <x v="7"/>
    <x v="1"/>
    <x v="1"/>
    <x v="134"/>
  </r>
  <r>
    <x v="7"/>
    <x v="1"/>
    <x v="2"/>
    <x v="135"/>
  </r>
  <r>
    <x v="7"/>
    <x v="1"/>
    <x v="3"/>
    <x v="136"/>
  </r>
  <r>
    <x v="7"/>
    <x v="1"/>
    <x v="4"/>
    <x v="137"/>
  </r>
  <r>
    <x v="7"/>
    <x v="1"/>
    <x v="5"/>
    <x v="138"/>
  </r>
  <r>
    <x v="7"/>
    <x v="1"/>
    <x v="6"/>
    <x v="139"/>
  </r>
  <r>
    <x v="7"/>
    <x v="1"/>
    <x v="7"/>
    <x v="140"/>
  </r>
  <r>
    <x v="7"/>
    <x v="1"/>
    <x v="8"/>
    <x v="141"/>
  </r>
  <r>
    <x v="8"/>
    <x v="0"/>
    <x v="0"/>
    <x v="142"/>
  </r>
  <r>
    <x v="8"/>
    <x v="0"/>
    <x v="1"/>
    <x v="143"/>
  </r>
  <r>
    <x v="8"/>
    <x v="0"/>
    <x v="2"/>
    <x v="144"/>
  </r>
  <r>
    <x v="8"/>
    <x v="0"/>
    <x v="3"/>
    <x v="145"/>
  </r>
  <r>
    <x v="8"/>
    <x v="0"/>
    <x v="4"/>
    <x v="146"/>
  </r>
  <r>
    <x v="8"/>
    <x v="0"/>
    <x v="5"/>
    <x v="147"/>
  </r>
  <r>
    <x v="8"/>
    <x v="0"/>
    <x v="6"/>
    <x v="148"/>
  </r>
  <r>
    <x v="8"/>
    <x v="0"/>
    <x v="7"/>
    <x v="149"/>
  </r>
  <r>
    <x v="8"/>
    <x v="0"/>
    <x v="8"/>
    <x v="150"/>
  </r>
  <r>
    <x v="8"/>
    <x v="1"/>
    <x v="0"/>
    <x v="151"/>
  </r>
  <r>
    <x v="8"/>
    <x v="1"/>
    <x v="1"/>
    <x v="152"/>
  </r>
  <r>
    <x v="8"/>
    <x v="1"/>
    <x v="2"/>
    <x v="153"/>
  </r>
  <r>
    <x v="8"/>
    <x v="1"/>
    <x v="3"/>
    <x v="154"/>
  </r>
  <r>
    <x v="8"/>
    <x v="1"/>
    <x v="4"/>
    <x v="155"/>
  </r>
  <r>
    <x v="8"/>
    <x v="1"/>
    <x v="5"/>
    <x v="156"/>
  </r>
  <r>
    <x v="8"/>
    <x v="1"/>
    <x v="6"/>
    <x v="157"/>
  </r>
  <r>
    <x v="8"/>
    <x v="1"/>
    <x v="7"/>
    <x v="158"/>
  </r>
  <r>
    <x v="8"/>
    <x v="1"/>
    <x v="8"/>
    <x v="159"/>
  </r>
  <r>
    <x v="9"/>
    <x v="0"/>
    <x v="0"/>
    <x v="160"/>
  </r>
  <r>
    <x v="9"/>
    <x v="0"/>
    <x v="1"/>
    <x v="161"/>
  </r>
  <r>
    <x v="9"/>
    <x v="0"/>
    <x v="2"/>
    <x v="162"/>
  </r>
  <r>
    <x v="9"/>
    <x v="0"/>
    <x v="3"/>
    <x v="163"/>
  </r>
  <r>
    <x v="9"/>
    <x v="0"/>
    <x v="4"/>
    <x v="164"/>
  </r>
  <r>
    <x v="9"/>
    <x v="0"/>
    <x v="5"/>
    <x v="165"/>
  </r>
  <r>
    <x v="9"/>
    <x v="0"/>
    <x v="6"/>
    <x v="166"/>
  </r>
  <r>
    <x v="9"/>
    <x v="0"/>
    <x v="7"/>
    <x v="167"/>
  </r>
  <r>
    <x v="9"/>
    <x v="0"/>
    <x v="8"/>
    <x v="168"/>
  </r>
  <r>
    <x v="9"/>
    <x v="1"/>
    <x v="0"/>
    <x v="169"/>
  </r>
  <r>
    <x v="9"/>
    <x v="1"/>
    <x v="1"/>
    <x v="170"/>
  </r>
  <r>
    <x v="9"/>
    <x v="1"/>
    <x v="2"/>
    <x v="171"/>
  </r>
  <r>
    <x v="9"/>
    <x v="1"/>
    <x v="3"/>
    <x v="172"/>
  </r>
  <r>
    <x v="9"/>
    <x v="1"/>
    <x v="4"/>
    <x v="173"/>
  </r>
  <r>
    <x v="9"/>
    <x v="1"/>
    <x v="5"/>
    <x v="174"/>
  </r>
  <r>
    <x v="9"/>
    <x v="1"/>
    <x v="6"/>
    <x v="133"/>
  </r>
  <r>
    <x v="9"/>
    <x v="1"/>
    <x v="7"/>
    <x v="175"/>
  </r>
  <r>
    <x v="9"/>
    <x v="1"/>
    <x v="8"/>
    <x v="176"/>
  </r>
  <r>
    <x v="10"/>
    <x v="0"/>
    <x v="0"/>
    <x v="177"/>
  </r>
  <r>
    <x v="10"/>
    <x v="0"/>
    <x v="1"/>
    <x v="178"/>
  </r>
  <r>
    <x v="10"/>
    <x v="0"/>
    <x v="2"/>
    <x v="179"/>
  </r>
  <r>
    <x v="10"/>
    <x v="0"/>
    <x v="3"/>
    <x v="180"/>
  </r>
  <r>
    <x v="10"/>
    <x v="0"/>
    <x v="4"/>
    <x v="181"/>
  </r>
  <r>
    <x v="10"/>
    <x v="0"/>
    <x v="5"/>
    <x v="182"/>
  </r>
  <r>
    <x v="10"/>
    <x v="0"/>
    <x v="6"/>
    <x v="183"/>
  </r>
  <r>
    <x v="10"/>
    <x v="0"/>
    <x v="7"/>
    <x v="184"/>
  </r>
  <r>
    <x v="10"/>
    <x v="0"/>
    <x v="8"/>
    <x v="185"/>
  </r>
  <r>
    <x v="10"/>
    <x v="1"/>
    <x v="0"/>
    <x v="186"/>
  </r>
  <r>
    <x v="10"/>
    <x v="1"/>
    <x v="1"/>
    <x v="187"/>
  </r>
  <r>
    <x v="10"/>
    <x v="1"/>
    <x v="2"/>
    <x v="188"/>
  </r>
  <r>
    <x v="10"/>
    <x v="1"/>
    <x v="3"/>
    <x v="189"/>
  </r>
  <r>
    <x v="10"/>
    <x v="1"/>
    <x v="4"/>
    <x v="190"/>
  </r>
  <r>
    <x v="10"/>
    <x v="1"/>
    <x v="5"/>
    <x v="191"/>
  </r>
  <r>
    <x v="10"/>
    <x v="1"/>
    <x v="6"/>
    <x v="192"/>
  </r>
  <r>
    <x v="10"/>
    <x v="1"/>
    <x v="7"/>
    <x v="193"/>
  </r>
  <r>
    <x v="10"/>
    <x v="1"/>
    <x v="8"/>
    <x v="194"/>
  </r>
  <r>
    <x v="11"/>
    <x v="0"/>
    <x v="0"/>
    <x v="195"/>
  </r>
  <r>
    <x v="11"/>
    <x v="0"/>
    <x v="1"/>
    <x v="196"/>
  </r>
  <r>
    <x v="11"/>
    <x v="0"/>
    <x v="2"/>
    <x v="197"/>
  </r>
  <r>
    <x v="11"/>
    <x v="0"/>
    <x v="3"/>
    <x v="198"/>
  </r>
  <r>
    <x v="11"/>
    <x v="0"/>
    <x v="4"/>
    <x v="199"/>
  </r>
  <r>
    <x v="11"/>
    <x v="0"/>
    <x v="5"/>
    <x v="200"/>
  </r>
  <r>
    <x v="11"/>
    <x v="0"/>
    <x v="6"/>
    <x v="201"/>
  </r>
  <r>
    <x v="11"/>
    <x v="0"/>
    <x v="7"/>
    <x v="202"/>
  </r>
  <r>
    <x v="11"/>
    <x v="0"/>
    <x v="8"/>
    <x v="203"/>
  </r>
  <r>
    <x v="11"/>
    <x v="1"/>
    <x v="0"/>
    <x v="204"/>
  </r>
  <r>
    <x v="11"/>
    <x v="1"/>
    <x v="1"/>
    <x v="205"/>
  </r>
  <r>
    <x v="11"/>
    <x v="1"/>
    <x v="2"/>
    <x v="206"/>
  </r>
  <r>
    <x v="11"/>
    <x v="1"/>
    <x v="3"/>
    <x v="207"/>
  </r>
  <r>
    <x v="11"/>
    <x v="1"/>
    <x v="4"/>
    <x v="208"/>
  </r>
  <r>
    <x v="11"/>
    <x v="1"/>
    <x v="5"/>
    <x v="209"/>
  </r>
  <r>
    <x v="11"/>
    <x v="1"/>
    <x v="6"/>
    <x v="210"/>
  </r>
  <r>
    <x v="11"/>
    <x v="1"/>
    <x v="7"/>
    <x v="211"/>
  </r>
  <r>
    <x v="11"/>
    <x v="1"/>
    <x v="8"/>
    <x v="212"/>
  </r>
  <r>
    <x v="12"/>
    <x v="0"/>
    <x v="0"/>
    <x v="213"/>
  </r>
  <r>
    <x v="12"/>
    <x v="0"/>
    <x v="1"/>
    <x v="214"/>
  </r>
  <r>
    <x v="12"/>
    <x v="0"/>
    <x v="2"/>
    <x v="215"/>
  </r>
  <r>
    <x v="12"/>
    <x v="0"/>
    <x v="3"/>
    <x v="216"/>
  </r>
  <r>
    <x v="12"/>
    <x v="0"/>
    <x v="4"/>
    <x v="217"/>
  </r>
  <r>
    <x v="12"/>
    <x v="0"/>
    <x v="5"/>
    <x v="218"/>
  </r>
  <r>
    <x v="12"/>
    <x v="0"/>
    <x v="6"/>
    <x v="219"/>
  </r>
  <r>
    <x v="12"/>
    <x v="0"/>
    <x v="7"/>
    <x v="220"/>
  </r>
  <r>
    <x v="12"/>
    <x v="0"/>
    <x v="8"/>
    <x v="221"/>
  </r>
  <r>
    <x v="12"/>
    <x v="1"/>
    <x v="0"/>
    <x v="222"/>
  </r>
  <r>
    <x v="12"/>
    <x v="1"/>
    <x v="1"/>
    <x v="223"/>
  </r>
  <r>
    <x v="12"/>
    <x v="1"/>
    <x v="2"/>
    <x v="224"/>
  </r>
  <r>
    <x v="12"/>
    <x v="1"/>
    <x v="3"/>
    <x v="225"/>
  </r>
  <r>
    <x v="12"/>
    <x v="1"/>
    <x v="4"/>
    <x v="226"/>
  </r>
  <r>
    <x v="12"/>
    <x v="1"/>
    <x v="5"/>
    <x v="227"/>
  </r>
  <r>
    <x v="12"/>
    <x v="1"/>
    <x v="6"/>
    <x v="228"/>
  </r>
  <r>
    <x v="12"/>
    <x v="1"/>
    <x v="7"/>
    <x v="229"/>
  </r>
  <r>
    <x v="12"/>
    <x v="1"/>
    <x v="8"/>
    <x v="230"/>
  </r>
  <r>
    <x v="13"/>
    <x v="0"/>
    <x v="0"/>
    <x v="231"/>
  </r>
  <r>
    <x v="13"/>
    <x v="0"/>
    <x v="1"/>
    <x v="232"/>
  </r>
  <r>
    <x v="13"/>
    <x v="0"/>
    <x v="2"/>
    <x v="233"/>
  </r>
  <r>
    <x v="13"/>
    <x v="0"/>
    <x v="3"/>
    <x v="234"/>
  </r>
  <r>
    <x v="13"/>
    <x v="0"/>
    <x v="4"/>
    <x v="235"/>
  </r>
  <r>
    <x v="13"/>
    <x v="0"/>
    <x v="5"/>
    <x v="236"/>
  </r>
  <r>
    <x v="13"/>
    <x v="0"/>
    <x v="6"/>
    <x v="237"/>
  </r>
  <r>
    <x v="13"/>
    <x v="0"/>
    <x v="7"/>
    <x v="238"/>
  </r>
  <r>
    <x v="13"/>
    <x v="0"/>
    <x v="8"/>
    <x v="239"/>
  </r>
  <r>
    <x v="13"/>
    <x v="1"/>
    <x v="0"/>
    <x v="240"/>
  </r>
  <r>
    <x v="13"/>
    <x v="1"/>
    <x v="1"/>
    <x v="241"/>
  </r>
  <r>
    <x v="13"/>
    <x v="1"/>
    <x v="2"/>
    <x v="242"/>
  </r>
  <r>
    <x v="13"/>
    <x v="1"/>
    <x v="3"/>
    <x v="243"/>
  </r>
  <r>
    <x v="13"/>
    <x v="1"/>
    <x v="4"/>
    <x v="244"/>
  </r>
  <r>
    <x v="13"/>
    <x v="1"/>
    <x v="5"/>
    <x v="245"/>
  </r>
  <r>
    <x v="13"/>
    <x v="1"/>
    <x v="6"/>
    <x v="246"/>
  </r>
  <r>
    <x v="13"/>
    <x v="1"/>
    <x v="7"/>
    <x v="247"/>
  </r>
  <r>
    <x v="13"/>
    <x v="1"/>
    <x v="8"/>
    <x v="2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6A0746-F9E3-4AB7-883F-009BCD94BED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3:D14" firstHeaderRow="1" firstDataRow="2" firstDataCol="1" rowPageCount="1" colPageCount="1"/>
  <pivotFields count="4">
    <pivotField axis="axisPage" multipleItemSelectionAllowed="1" showAll="0">
      <items count="15">
        <item h="1" x="12"/>
        <item h="1" x="13"/>
        <item h="1" x="6"/>
        <item h="1" x="8"/>
        <item h="1" x="5"/>
        <item h="1" x="3"/>
        <item h="1" x="1"/>
        <item h="1" x="2"/>
        <item h="1" x="0"/>
        <item h="1" x="4"/>
        <item x="11"/>
        <item h="1" x="7"/>
        <item h="1" x="9"/>
        <item h="1" x="10"/>
        <item t="default"/>
      </items>
    </pivotField>
    <pivotField axis="axisCol" showAll="0">
      <items count="3">
        <item x="1"/>
        <item x="0"/>
        <item t="default"/>
      </items>
    </pivotField>
    <pivotField axis="axisRow" showAll="0">
      <items count="10">
        <item x="0"/>
        <item x="1"/>
        <item x="2"/>
        <item x="3"/>
        <item x="4"/>
        <item x="5"/>
        <item x="6"/>
        <item x="7"/>
        <item x="8"/>
        <item t="default"/>
      </items>
    </pivotField>
    <pivotField dataField="1" showAll="0">
      <items count="250">
        <item x="232"/>
        <item x="132"/>
        <item x="131"/>
        <item x="128"/>
        <item x="129"/>
        <item x="130"/>
        <item x="127"/>
        <item x="126"/>
        <item x="125"/>
        <item x="231"/>
        <item x="124"/>
        <item x="142"/>
        <item x="203"/>
        <item x="160"/>
        <item x="202"/>
        <item x="143"/>
        <item x="199"/>
        <item x="235"/>
        <item x="168"/>
        <item x="239"/>
        <item x="144"/>
        <item x="238"/>
        <item x="167"/>
        <item x="161"/>
        <item x="145"/>
        <item x="201"/>
        <item x="234"/>
        <item x="236"/>
        <item x="164"/>
        <item x="146"/>
        <item x="237"/>
        <item x="200"/>
        <item x="163"/>
        <item x="198"/>
        <item x="166"/>
        <item x="162"/>
        <item x="8"/>
        <item x="233"/>
        <item x="96"/>
        <item x="95"/>
        <item x="149"/>
        <item x="150"/>
        <item x="165"/>
        <item x="169"/>
        <item x="197"/>
        <item x="92"/>
        <item x="170"/>
        <item x="94"/>
        <item x="27"/>
        <item x="7"/>
        <item x="91"/>
        <item x="213"/>
        <item x="148"/>
        <item x="28"/>
        <item x="214"/>
        <item x="93"/>
        <item x="147"/>
        <item x="196"/>
        <item x="90"/>
        <item x="215"/>
        <item x="44"/>
        <item x="216"/>
        <item x="217"/>
        <item x="221"/>
        <item x="220"/>
        <item x="18"/>
        <item x="22"/>
        <item x="19"/>
        <item x="26"/>
        <item x="25"/>
        <item x="21"/>
        <item x="20"/>
        <item x="29"/>
        <item x="36"/>
        <item x="219"/>
        <item x="52"/>
        <item x="53"/>
        <item x="218"/>
        <item x="174"/>
        <item x="37"/>
        <item x="171"/>
        <item x="24"/>
        <item x="45"/>
        <item x="38"/>
        <item x="23"/>
        <item x="195"/>
        <item x="39"/>
        <item x="0"/>
        <item x="40"/>
        <item x="179"/>
        <item x="180"/>
        <item x="30"/>
        <item x="186"/>
        <item x="6"/>
        <item x="54"/>
        <item x="1"/>
        <item x="176"/>
        <item x="172"/>
        <item x="183"/>
        <item x="175"/>
        <item x="2"/>
        <item x="41"/>
        <item x="184"/>
        <item x="133"/>
        <item x="185"/>
        <item x="3"/>
        <item x="187"/>
        <item x="181"/>
        <item x="4"/>
        <item x="178"/>
        <item x="89"/>
        <item x="55"/>
        <item x="5"/>
        <item x="46"/>
        <item x="182"/>
        <item x="31"/>
        <item x="43"/>
        <item x="42"/>
        <item x="173"/>
        <item x="188"/>
        <item x="58"/>
        <item x="177"/>
        <item x="79"/>
        <item x="47"/>
        <item x="56"/>
        <item x="134"/>
        <item x="57"/>
        <item x="151"/>
        <item x="32"/>
        <item x="88"/>
        <item x="48"/>
        <item x="189"/>
        <item x="135"/>
        <item x="190"/>
        <item x="80"/>
        <item x="191"/>
        <item x="192"/>
        <item x="193"/>
        <item x="60"/>
        <item x="33"/>
        <item x="152"/>
        <item x="59"/>
        <item x="136"/>
        <item x="153"/>
        <item x="154"/>
        <item x="75"/>
        <item x="155"/>
        <item x="74"/>
        <item x="156"/>
        <item x="73"/>
        <item x="113"/>
        <item x="49"/>
        <item x="194"/>
        <item x="61"/>
        <item x="137"/>
        <item x="71"/>
        <item x="70"/>
        <item x="62"/>
        <item x="157"/>
        <item x="72"/>
        <item x="34"/>
        <item x="114"/>
        <item x="81"/>
        <item x="63"/>
        <item x="158"/>
        <item x="35"/>
        <item x="78"/>
        <item x="112"/>
        <item x="222"/>
        <item x="111"/>
        <item x="50"/>
        <item x="82"/>
        <item x="138"/>
        <item x="64"/>
        <item x="51"/>
        <item x="159"/>
        <item x="223"/>
        <item x="110"/>
        <item x="83"/>
        <item x="204"/>
        <item x="101"/>
        <item x="77"/>
        <item x="9"/>
        <item x="65"/>
        <item x="139"/>
        <item x="97"/>
        <item x="224"/>
        <item x="76"/>
        <item x="84"/>
        <item x="10"/>
        <item x="85"/>
        <item x="66"/>
        <item x="205"/>
        <item x="11"/>
        <item x="109"/>
        <item x="140"/>
        <item x="67"/>
        <item x="12"/>
        <item x="98"/>
        <item x="86"/>
        <item x="141"/>
        <item x="87"/>
        <item x="68"/>
        <item x="206"/>
        <item x="225"/>
        <item x="13"/>
        <item x="14"/>
        <item x="69"/>
        <item x="108"/>
        <item x="107"/>
        <item x="106"/>
        <item x="207"/>
        <item x="15"/>
        <item x="246"/>
        <item x="245"/>
        <item x="244"/>
        <item x="226"/>
        <item x="243"/>
        <item x="227"/>
        <item x="115"/>
        <item x="99"/>
        <item x="247"/>
        <item x="240"/>
        <item x="228"/>
        <item x="16"/>
        <item x="17"/>
        <item x="229"/>
        <item x="248"/>
        <item x="241"/>
        <item x="116"/>
        <item x="230"/>
        <item x="100"/>
        <item x="208"/>
        <item x="242"/>
        <item x="117"/>
        <item x="118"/>
        <item x="209"/>
        <item x="210"/>
        <item x="211"/>
        <item x="119"/>
        <item x="212"/>
        <item x="102"/>
        <item x="103"/>
        <item x="104"/>
        <item x="105"/>
        <item x="120"/>
        <item x="121"/>
        <item x="122"/>
        <item x="123"/>
        <item t="default"/>
      </items>
    </pivotField>
  </pivotFields>
  <rowFields count="1">
    <field x="2"/>
  </rowFields>
  <rowItems count="10">
    <i>
      <x/>
    </i>
    <i>
      <x v="1"/>
    </i>
    <i>
      <x v="2"/>
    </i>
    <i>
      <x v="3"/>
    </i>
    <i>
      <x v="4"/>
    </i>
    <i>
      <x v="5"/>
    </i>
    <i>
      <x v="6"/>
    </i>
    <i>
      <x v="7"/>
    </i>
    <i>
      <x v="8"/>
    </i>
    <i t="grand">
      <x/>
    </i>
  </rowItems>
  <colFields count="1">
    <field x="1"/>
  </colFields>
  <colItems count="3">
    <i>
      <x/>
    </i>
    <i>
      <x v="1"/>
    </i>
    <i t="grand">
      <x/>
    </i>
  </colItems>
  <pageFields count="1">
    <pageField fld="0" hier="-1"/>
  </pageFields>
  <dataFields count="1">
    <dataField name="Average of Value" fld="3" subtotal="average" baseField="2" baseItem="0" numFmtId="164"/>
  </dataFields>
  <chartFormats count="120">
    <chartFormat chart="0" format="0" series="1">
      <pivotArea type="data" outline="0" fieldPosition="0">
        <references count="3">
          <reference field="4294967294" count="1" selected="0">
            <x v="0"/>
          </reference>
          <reference field="1" count="1" selected="0">
            <x v="0"/>
          </reference>
          <reference field="2" count="1" selected="0">
            <x v="0"/>
          </reference>
        </references>
      </pivotArea>
    </chartFormat>
    <chartFormat chart="0" format="1" series="1">
      <pivotArea type="data" outline="0" fieldPosition="0">
        <references count="3">
          <reference field="4294967294" count="1" selected="0">
            <x v="0"/>
          </reference>
          <reference field="1" count="1" selected="0">
            <x v="0"/>
          </reference>
          <reference field="2" count="1" selected="0">
            <x v="1"/>
          </reference>
        </references>
      </pivotArea>
    </chartFormat>
    <chartFormat chart="0" format="2" series="1">
      <pivotArea type="data" outline="0" fieldPosition="0">
        <references count="3">
          <reference field="4294967294" count="1" selected="0">
            <x v="0"/>
          </reference>
          <reference field="1" count="1" selected="0">
            <x v="0"/>
          </reference>
          <reference field="2" count="1" selected="0">
            <x v="2"/>
          </reference>
        </references>
      </pivotArea>
    </chartFormat>
    <chartFormat chart="0" format="3" series="1">
      <pivotArea type="data" outline="0" fieldPosition="0">
        <references count="3">
          <reference field="4294967294" count="1" selected="0">
            <x v="0"/>
          </reference>
          <reference field="1" count="1" selected="0">
            <x v="0"/>
          </reference>
          <reference field="2" count="1" selected="0">
            <x v="3"/>
          </reference>
        </references>
      </pivotArea>
    </chartFormat>
    <chartFormat chart="0" format="4" series="1">
      <pivotArea type="data" outline="0" fieldPosition="0">
        <references count="3">
          <reference field="4294967294" count="1" selected="0">
            <x v="0"/>
          </reference>
          <reference field="1" count="1" selected="0">
            <x v="0"/>
          </reference>
          <reference field="2" count="1" selected="0">
            <x v="4"/>
          </reference>
        </references>
      </pivotArea>
    </chartFormat>
    <chartFormat chart="0" format="5" series="1">
      <pivotArea type="data" outline="0" fieldPosition="0">
        <references count="3">
          <reference field="4294967294" count="1" selected="0">
            <x v="0"/>
          </reference>
          <reference field="1" count="1" selected="0">
            <x v="0"/>
          </reference>
          <reference field="2" count="1" selected="0">
            <x v="5"/>
          </reference>
        </references>
      </pivotArea>
    </chartFormat>
    <chartFormat chart="0" format="6" series="1">
      <pivotArea type="data" outline="0" fieldPosition="0">
        <references count="3">
          <reference field="4294967294" count="1" selected="0">
            <x v="0"/>
          </reference>
          <reference field="1" count="1" selected="0">
            <x v="0"/>
          </reference>
          <reference field="2" count="1" selected="0">
            <x v="6"/>
          </reference>
        </references>
      </pivotArea>
    </chartFormat>
    <chartFormat chart="0" format="7" series="1">
      <pivotArea type="data" outline="0" fieldPosition="0">
        <references count="3">
          <reference field="4294967294" count="1" selected="0">
            <x v="0"/>
          </reference>
          <reference field="1" count="1" selected="0">
            <x v="0"/>
          </reference>
          <reference field="2" count="1" selected="0">
            <x v="7"/>
          </reference>
        </references>
      </pivotArea>
    </chartFormat>
    <chartFormat chart="0" format="8" series="1">
      <pivotArea type="data" outline="0" fieldPosition="0">
        <references count="3">
          <reference field="4294967294" count="1" selected="0">
            <x v="0"/>
          </reference>
          <reference field="1" count="1" selected="0">
            <x v="0"/>
          </reference>
          <reference field="2" count="1" selected="0">
            <x v="8"/>
          </reference>
        </references>
      </pivotArea>
    </chartFormat>
    <chartFormat chart="0" format="9" series="1">
      <pivotArea type="data" outline="0" fieldPosition="0">
        <references count="3">
          <reference field="4294967294" count="1" selected="0">
            <x v="0"/>
          </reference>
          <reference field="1" count="1" selected="0">
            <x v="1"/>
          </reference>
          <reference field="2" count="1" selected="0">
            <x v="0"/>
          </reference>
        </references>
      </pivotArea>
    </chartFormat>
    <chartFormat chart="0" format="10" series="1">
      <pivotArea type="data" outline="0" fieldPosition="0">
        <references count="3">
          <reference field="4294967294" count="1" selected="0">
            <x v="0"/>
          </reference>
          <reference field="1" count="1" selected="0">
            <x v="1"/>
          </reference>
          <reference field="2" count="1" selected="0">
            <x v="1"/>
          </reference>
        </references>
      </pivotArea>
    </chartFormat>
    <chartFormat chart="0" format="11" series="1">
      <pivotArea type="data" outline="0" fieldPosition="0">
        <references count="3">
          <reference field="4294967294" count="1" selected="0">
            <x v="0"/>
          </reference>
          <reference field="1" count="1" selected="0">
            <x v="1"/>
          </reference>
          <reference field="2" count="1" selected="0">
            <x v="2"/>
          </reference>
        </references>
      </pivotArea>
    </chartFormat>
    <chartFormat chart="0" format="12" series="1">
      <pivotArea type="data" outline="0" fieldPosition="0">
        <references count="3">
          <reference field="4294967294" count="1" selected="0">
            <x v="0"/>
          </reference>
          <reference field="1" count="1" selected="0">
            <x v="1"/>
          </reference>
          <reference field="2" count="1" selected="0">
            <x v="3"/>
          </reference>
        </references>
      </pivotArea>
    </chartFormat>
    <chartFormat chart="0" format="13" series="1">
      <pivotArea type="data" outline="0" fieldPosition="0">
        <references count="3">
          <reference field="4294967294" count="1" selected="0">
            <x v="0"/>
          </reference>
          <reference field="1" count="1" selected="0">
            <x v="1"/>
          </reference>
          <reference field="2" count="1" selected="0">
            <x v="4"/>
          </reference>
        </references>
      </pivotArea>
    </chartFormat>
    <chartFormat chart="0" format="14" series="1">
      <pivotArea type="data" outline="0" fieldPosition="0">
        <references count="3">
          <reference field="4294967294" count="1" selected="0">
            <x v="0"/>
          </reference>
          <reference field="1" count="1" selected="0">
            <x v="1"/>
          </reference>
          <reference field="2" count="1" selected="0">
            <x v="5"/>
          </reference>
        </references>
      </pivotArea>
    </chartFormat>
    <chartFormat chart="0" format="15" series="1">
      <pivotArea type="data" outline="0" fieldPosition="0">
        <references count="3">
          <reference field="4294967294" count="1" selected="0">
            <x v="0"/>
          </reference>
          <reference field="1" count="1" selected="0">
            <x v="1"/>
          </reference>
          <reference field="2" count="1" selected="0">
            <x v="6"/>
          </reference>
        </references>
      </pivotArea>
    </chartFormat>
    <chartFormat chart="0" format="16" series="1">
      <pivotArea type="data" outline="0" fieldPosition="0">
        <references count="3">
          <reference field="4294967294" count="1" selected="0">
            <x v="0"/>
          </reference>
          <reference field="1" count="1" selected="0">
            <x v="1"/>
          </reference>
          <reference field="2" count="1" selected="0">
            <x v="7"/>
          </reference>
        </references>
      </pivotArea>
    </chartFormat>
    <chartFormat chart="0" format="17" series="1">
      <pivotArea type="data" outline="0" fieldPosition="0">
        <references count="3">
          <reference field="4294967294" count="1" selected="0">
            <x v="0"/>
          </reference>
          <reference field="1" count="1" selected="0">
            <x v="1"/>
          </reference>
          <reference field="2" count="1" selected="0">
            <x v="8"/>
          </reference>
        </references>
      </pivotArea>
    </chartFormat>
    <chartFormat chart="2" format="0" series="1">
      <pivotArea type="data" outline="0" fieldPosition="0">
        <references count="3">
          <reference field="4294967294" count="1" selected="0">
            <x v="0"/>
          </reference>
          <reference field="1" count="1" selected="0">
            <x v="0"/>
          </reference>
          <reference field="2" count="1" selected="0">
            <x v="0"/>
          </reference>
        </references>
      </pivotArea>
    </chartFormat>
    <chartFormat chart="2" format="1" series="1">
      <pivotArea type="data" outline="0" fieldPosition="0">
        <references count="3">
          <reference field="4294967294" count="1" selected="0">
            <x v="0"/>
          </reference>
          <reference field="1" count="1" selected="0">
            <x v="0"/>
          </reference>
          <reference field="2" count="1" selected="0">
            <x v="1"/>
          </reference>
        </references>
      </pivotArea>
    </chartFormat>
    <chartFormat chart="2" format="2" series="1">
      <pivotArea type="data" outline="0" fieldPosition="0">
        <references count="3">
          <reference field="4294967294" count="1" selected="0">
            <x v="0"/>
          </reference>
          <reference field="1" count="1" selected="0">
            <x v="0"/>
          </reference>
          <reference field="2" count="1" selected="0">
            <x v="2"/>
          </reference>
        </references>
      </pivotArea>
    </chartFormat>
    <chartFormat chart="2" format="3" series="1">
      <pivotArea type="data" outline="0" fieldPosition="0">
        <references count="3">
          <reference field="4294967294" count="1" selected="0">
            <x v="0"/>
          </reference>
          <reference field="1" count="1" selected="0">
            <x v="0"/>
          </reference>
          <reference field="2" count="1" selected="0">
            <x v="3"/>
          </reference>
        </references>
      </pivotArea>
    </chartFormat>
    <chartFormat chart="2" format="4" series="1">
      <pivotArea type="data" outline="0" fieldPosition="0">
        <references count="3">
          <reference field="4294967294" count="1" selected="0">
            <x v="0"/>
          </reference>
          <reference field="1" count="1" selected="0">
            <x v="0"/>
          </reference>
          <reference field="2" count="1" selected="0">
            <x v="4"/>
          </reference>
        </references>
      </pivotArea>
    </chartFormat>
    <chartFormat chart="2" format="5" series="1">
      <pivotArea type="data" outline="0" fieldPosition="0">
        <references count="3">
          <reference field="4294967294" count="1" selected="0">
            <x v="0"/>
          </reference>
          <reference field="1" count="1" selected="0">
            <x v="0"/>
          </reference>
          <reference field="2" count="1" selected="0">
            <x v="5"/>
          </reference>
        </references>
      </pivotArea>
    </chartFormat>
    <chartFormat chart="2" format="6" series="1">
      <pivotArea type="data" outline="0" fieldPosition="0">
        <references count="3">
          <reference field="4294967294" count="1" selected="0">
            <x v="0"/>
          </reference>
          <reference field="1" count="1" selected="0">
            <x v="0"/>
          </reference>
          <reference field="2" count="1" selected="0">
            <x v="6"/>
          </reference>
        </references>
      </pivotArea>
    </chartFormat>
    <chartFormat chart="2" format="7" series="1">
      <pivotArea type="data" outline="0" fieldPosition="0">
        <references count="3">
          <reference field="4294967294" count="1" selected="0">
            <x v="0"/>
          </reference>
          <reference field="1" count="1" selected="0">
            <x v="0"/>
          </reference>
          <reference field="2" count="1" selected="0">
            <x v="7"/>
          </reference>
        </references>
      </pivotArea>
    </chartFormat>
    <chartFormat chart="2" format="8" series="1">
      <pivotArea type="data" outline="0" fieldPosition="0">
        <references count="3">
          <reference field="4294967294" count="1" selected="0">
            <x v="0"/>
          </reference>
          <reference field="1" count="1" selected="0">
            <x v="0"/>
          </reference>
          <reference field="2" count="1" selected="0">
            <x v="8"/>
          </reference>
        </references>
      </pivotArea>
    </chartFormat>
    <chartFormat chart="2" format="9" series="1">
      <pivotArea type="data" outline="0" fieldPosition="0">
        <references count="3">
          <reference field="4294967294" count="1" selected="0">
            <x v="0"/>
          </reference>
          <reference field="1" count="1" selected="0">
            <x v="1"/>
          </reference>
          <reference field="2" count="1" selected="0">
            <x v="0"/>
          </reference>
        </references>
      </pivotArea>
    </chartFormat>
    <chartFormat chart="2" format="10" series="1">
      <pivotArea type="data" outline="0" fieldPosition="0">
        <references count="3">
          <reference field="4294967294" count="1" selected="0">
            <x v="0"/>
          </reference>
          <reference field="1" count="1" selected="0">
            <x v="1"/>
          </reference>
          <reference field="2" count="1" selected="0">
            <x v="1"/>
          </reference>
        </references>
      </pivotArea>
    </chartFormat>
    <chartFormat chart="2" format="11" series="1">
      <pivotArea type="data" outline="0" fieldPosition="0">
        <references count="3">
          <reference field="4294967294" count="1" selected="0">
            <x v="0"/>
          </reference>
          <reference field="1" count="1" selected="0">
            <x v="1"/>
          </reference>
          <reference field="2" count="1" selected="0">
            <x v="2"/>
          </reference>
        </references>
      </pivotArea>
    </chartFormat>
    <chartFormat chart="2" format="12" series="1">
      <pivotArea type="data" outline="0" fieldPosition="0">
        <references count="3">
          <reference field="4294967294" count="1" selected="0">
            <x v="0"/>
          </reference>
          <reference field="1" count="1" selected="0">
            <x v="1"/>
          </reference>
          <reference field="2" count="1" selected="0">
            <x v="3"/>
          </reference>
        </references>
      </pivotArea>
    </chartFormat>
    <chartFormat chart="2" format="13" series="1">
      <pivotArea type="data" outline="0" fieldPosition="0">
        <references count="3">
          <reference field="4294967294" count="1" selected="0">
            <x v="0"/>
          </reference>
          <reference field="1" count="1" selected="0">
            <x v="1"/>
          </reference>
          <reference field="2" count="1" selected="0">
            <x v="4"/>
          </reference>
        </references>
      </pivotArea>
    </chartFormat>
    <chartFormat chart="2" format="14" series="1">
      <pivotArea type="data" outline="0" fieldPosition="0">
        <references count="3">
          <reference field="4294967294" count="1" selected="0">
            <x v="0"/>
          </reference>
          <reference field="1" count="1" selected="0">
            <x v="1"/>
          </reference>
          <reference field="2" count="1" selected="0">
            <x v="5"/>
          </reference>
        </references>
      </pivotArea>
    </chartFormat>
    <chartFormat chart="2" format="15" series="1">
      <pivotArea type="data" outline="0" fieldPosition="0">
        <references count="3">
          <reference field="4294967294" count="1" selected="0">
            <x v="0"/>
          </reference>
          <reference field="1" count="1" selected="0">
            <x v="1"/>
          </reference>
          <reference field="2" count="1" selected="0">
            <x v="6"/>
          </reference>
        </references>
      </pivotArea>
    </chartFormat>
    <chartFormat chart="2" format="16" series="1">
      <pivotArea type="data" outline="0" fieldPosition="0">
        <references count="3">
          <reference field="4294967294" count="1" selected="0">
            <x v="0"/>
          </reference>
          <reference field="1" count="1" selected="0">
            <x v="1"/>
          </reference>
          <reference field="2" count="1" selected="0">
            <x v="7"/>
          </reference>
        </references>
      </pivotArea>
    </chartFormat>
    <chartFormat chart="2" format="17" series="1">
      <pivotArea type="data" outline="0" fieldPosition="0">
        <references count="3">
          <reference field="4294967294" count="1" selected="0">
            <x v="0"/>
          </reference>
          <reference field="1" count="1" selected="0">
            <x v="1"/>
          </reference>
          <reference field="2" count="1" selected="0">
            <x v="8"/>
          </reference>
        </references>
      </pivotArea>
    </chartFormat>
    <chartFormat chart="2" format="18" series="1">
      <pivotArea type="data" outline="0" fieldPosition="0">
        <references count="2">
          <reference field="4294967294" count="1" selected="0">
            <x v="0"/>
          </reference>
          <reference field="1" count="1" selected="0">
            <x v="0"/>
          </reference>
        </references>
      </pivotArea>
    </chartFormat>
    <chartFormat chart="2" format="19" series="1">
      <pivotArea type="data" outline="0" fieldPosition="0">
        <references count="2">
          <reference field="4294967294" count="1" selected="0">
            <x v="0"/>
          </reference>
          <reference field="1" count="1" selected="0">
            <x v="1"/>
          </reference>
        </references>
      </pivotArea>
    </chartFormat>
    <chartFormat chart="0" format="18" series="1">
      <pivotArea type="data" outline="0" fieldPosition="0">
        <references count="2">
          <reference field="4294967294" count="1" selected="0">
            <x v="0"/>
          </reference>
          <reference field="1" count="1" selected="0">
            <x v="0"/>
          </reference>
        </references>
      </pivotArea>
    </chartFormat>
    <chartFormat chart="0" format="19" series="1">
      <pivotArea type="data" outline="0" fieldPosition="0">
        <references count="2">
          <reference field="4294967294" count="1" selected="0">
            <x v="0"/>
          </reference>
          <reference field="1" count="1" selected="0">
            <x v="1"/>
          </reference>
        </references>
      </pivotArea>
    </chartFormat>
    <chartFormat chart="2" format="20" series="1">
      <pivotArea type="data" outline="0" fieldPosition="0">
        <references count="3">
          <reference field="4294967294" count="1" selected="0">
            <x v="0"/>
          </reference>
          <reference field="0" count="1" selected="0">
            <x v="2"/>
          </reference>
          <reference field="1" count="1" selected="0">
            <x v="0"/>
          </reference>
        </references>
      </pivotArea>
    </chartFormat>
    <chartFormat chart="2" format="21" series="1">
      <pivotArea type="data" outline="0" fieldPosition="0">
        <references count="3">
          <reference field="4294967294" count="1" selected="0">
            <x v="0"/>
          </reference>
          <reference field="0" count="1" selected="0">
            <x v="3"/>
          </reference>
          <reference field="1" count="1" selected="0">
            <x v="0"/>
          </reference>
        </references>
      </pivotArea>
    </chartFormat>
    <chartFormat chart="2" format="22" series="1">
      <pivotArea type="data" outline="0" fieldPosition="0">
        <references count="3">
          <reference field="4294967294" count="1" selected="0">
            <x v="0"/>
          </reference>
          <reference field="0" count="1" selected="0">
            <x v="4"/>
          </reference>
          <reference field="1" count="1" selected="0">
            <x v="0"/>
          </reference>
        </references>
      </pivotArea>
    </chartFormat>
    <chartFormat chart="2" format="23" series="1">
      <pivotArea type="data" outline="0" fieldPosition="0">
        <references count="3">
          <reference field="4294967294" count="1" selected="0">
            <x v="0"/>
          </reference>
          <reference field="0" count="1" selected="0">
            <x v="5"/>
          </reference>
          <reference field="1" count="1" selected="0">
            <x v="0"/>
          </reference>
        </references>
      </pivotArea>
    </chartFormat>
    <chartFormat chart="2" format="24" series="1">
      <pivotArea type="data" outline="0" fieldPosition="0">
        <references count="3">
          <reference field="4294967294" count="1" selected="0">
            <x v="0"/>
          </reference>
          <reference field="0" count="1" selected="0">
            <x v="6"/>
          </reference>
          <reference field="1" count="1" selected="0">
            <x v="0"/>
          </reference>
        </references>
      </pivotArea>
    </chartFormat>
    <chartFormat chart="2" format="25" series="1">
      <pivotArea type="data" outline="0" fieldPosition="0">
        <references count="3">
          <reference field="4294967294" count="1" selected="0">
            <x v="0"/>
          </reference>
          <reference field="0" count="1" selected="0">
            <x v="7"/>
          </reference>
          <reference field="1" count="1" selected="0">
            <x v="0"/>
          </reference>
        </references>
      </pivotArea>
    </chartFormat>
    <chartFormat chart="2" format="26" series="1">
      <pivotArea type="data" outline="0" fieldPosition="0">
        <references count="3">
          <reference field="4294967294" count="1" selected="0">
            <x v="0"/>
          </reference>
          <reference field="0" count="1" selected="0">
            <x v="8"/>
          </reference>
          <reference field="1" count="1" selected="0">
            <x v="0"/>
          </reference>
        </references>
      </pivotArea>
    </chartFormat>
    <chartFormat chart="2" format="27" series="1">
      <pivotArea type="data" outline="0" fieldPosition="0">
        <references count="3">
          <reference field="4294967294" count="1" selected="0">
            <x v="0"/>
          </reference>
          <reference field="0" count="1" selected="0">
            <x v="9"/>
          </reference>
          <reference field="1" count="1" selected="0">
            <x v="0"/>
          </reference>
        </references>
      </pivotArea>
    </chartFormat>
    <chartFormat chart="2" format="28" series="1">
      <pivotArea type="data" outline="0" fieldPosition="0">
        <references count="3">
          <reference field="4294967294" count="1" selected="0">
            <x v="0"/>
          </reference>
          <reference field="0" count="1" selected="0">
            <x v="10"/>
          </reference>
          <reference field="1" count="1" selected="0">
            <x v="0"/>
          </reference>
        </references>
      </pivotArea>
    </chartFormat>
    <chartFormat chart="2" format="29" series="1">
      <pivotArea type="data" outline="0" fieldPosition="0">
        <references count="3">
          <reference field="4294967294" count="1" selected="0">
            <x v="0"/>
          </reference>
          <reference field="0" count="1" selected="0">
            <x v="11"/>
          </reference>
          <reference field="1" count="1" selected="0">
            <x v="0"/>
          </reference>
        </references>
      </pivotArea>
    </chartFormat>
    <chartFormat chart="2" format="30" series="1">
      <pivotArea type="data" outline="0" fieldPosition="0">
        <references count="3">
          <reference field="4294967294" count="1" selected="0">
            <x v="0"/>
          </reference>
          <reference field="0" count="1" selected="0">
            <x v="12"/>
          </reference>
          <reference field="1" count="1" selected="0">
            <x v="0"/>
          </reference>
        </references>
      </pivotArea>
    </chartFormat>
    <chartFormat chart="2" format="31" series="1">
      <pivotArea type="data" outline="0" fieldPosition="0">
        <references count="3">
          <reference field="4294967294" count="1" selected="0">
            <x v="0"/>
          </reference>
          <reference field="0" count="1" selected="0">
            <x v="13"/>
          </reference>
          <reference field="1" count="1" selected="0">
            <x v="0"/>
          </reference>
        </references>
      </pivotArea>
    </chartFormat>
    <chartFormat chart="2" format="32" series="1">
      <pivotArea type="data" outline="0" fieldPosition="0">
        <references count="3">
          <reference field="4294967294" count="1" selected="0">
            <x v="0"/>
          </reference>
          <reference field="0" count="1" selected="0">
            <x v="0"/>
          </reference>
          <reference field="1" count="1" selected="0">
            <x v="1"/>
          </reference>
        </references>
      </pivotArea>
    </chartFormat>
    <chartFormat chart="2" format="33" series="1">
      <pivotArea type="data" outline="0" fieldPosition="0">
        <references count="3">
          <reference field="4294967294" count="1" selected="0">
            <x v="0"/>
          </reference>
          <reference field="0" count="1" selected="0">
            <x v="1"/>
          </reference>
          <reference field="1" count="1" selected="0">
            <x v="1"/>
          </reference>
        </references>
      </pivotArea>
    </chartFormat>
    <chartFormat chart="2" format="34" series="1">
      <pivotArea type="data" outline="0" fieldPosition="0">
        <references count="3">
          <reference field="4294967294" count="1" selected="0">
            <x v="0"/>
          </reference>
          <reference field="0" count="1" selected="0">
            <x v="2"/>
          </reference>
          <reference field="1" count="1" selected="0">
            <x v="1"/>
          </reference>
        </references>
      </pivotArea>
    </chartFormat>
    <chartFormat chart="2" format="35" series="1">
      <pivotArea type="data" outline="0" fieldPosition="0">
        <references count="3">
          <reference field="4294967294" count="1" selected="0">
            <x v="0"/>
          </reference>
          <reference field="0" count="1" selected="0">
            <x v="3"/>
          </reference>
          <reference field="1" count="1" selected="0">
            <x v="1"/>
          </reference>
        </references>
      </pivotArea>
    </chartFormat>
    <chartFormat chart="2" format="36" series="1">
      <pivotArea type="data" outline="0" fieldPosition="0">
        <references count="3">
          <reference field="4294967294" count="1" selected="0">
            <x v="0"/>
          </reference>
          <reference field="0" count="1" selected="0">
            <x v="4"/>
          </reference>
          <reference field="1" count="1" selected="0">
            <x v="1"/>
          </reference>
        </references>
      </pivotArea>
    </chartFormat>
    <chartFormat chart="2" format="37" series="1">
      <pivotArea type="data" outline="0" fieldPosition="0">
        <references count="3">
          <reference field="4294967294" count="1" selected="0">
            <x v="0"/>
          </reference>
          <reference field="0" count="1" selected="0">
            <x v="5"/>
          </reference>
          <reference field="1" count="1" selected="0">
            <x v="1"/>
          </reference>
        </references>
      </pivotArea>
    </chartFormat>
    <chartFormat chart="2" format="38" series="1">
      <pivotArea type="data" outline="0" fieldPosition="0">
        <references count="3">
          <reference field="4294967294" count="1" selected="0">
            <x v="0"/>
          </reference>
          <reference field="0" count="1" selected="0">
            <x v="6"/>
          </reference>
          <reference field="1" count="1" selected="0">
            <x v="1"/>
          </reference>
        </references>
      </pivotArea>
    </chartFormat>
    <chartFormat chart="2" format="39" series="1">
      <pivotArea type="data" outline="0" fieldPosition="0">
        <references count="3">
          <reference field="4294967294" count="1" selected="0">
            <x v="0"/>
          </reference>
          <reference field="0" count="1" selected="0">
            <x v="7"/>
          </reference>
          <reference field="1" count="1" selected="0">
            <x v="1"/>
          </reference>
        </references>
      </pivotArea>
    </chartFormat>
    <chartFormat chart="2" format="40" series="1">
      <pivotArea type="data" outline="0" fieldPosition="0">
        <references count="3">
          <reference field="4294967294" count="1" selected="0">
            <x v="0"/>
          </reference>
          <reference field="0" count="1" selected="0">
            <x v="8"/>
          </reference>
          <reference field="1" count="1" selected="0">
            <x v="1"/>
          </reference>
        </references>
      </pivotArea>
    </chartFormat>
    <chartFormat chart="2" format="41" series="1">
      <pivotArea type="data" outline="0" fieldPosition="0">
        <references count="3">
          <reference field="4294967294" count="1" selected="0">
            <x v="0"/>
          </reference>
          <reference field="0" count="1" selected="0">
            <x v="9"/>
          </reference>
          <reference field="1" count="1" selected="0">
            <x v="1"/>
          </reference>
        </references>
      </pivotArea>
    </chartFormat>
    <chartFormat chart="2" format="42" series="1">
      <pivotArea type="data" outline="0" fieldPosition="0">
        <references count="3">
          <reference field="4294967294" count="1" selected="0">
            <x v="0"/>
          </reference>
          <reference field="0" count="1" selected="0">
            <x v="10"/>
          </reference>
          <reference field="1" count="1" selected="0">
            <x v="1"/>
          </reference>
        </references>
      </pivotArea>
    </chartFormat>
    <chartFormat chart="2" format="43" series="1">
      <pivotArea type="data" outline="0" fieldPosition="0">
        <references count="3">
          <reference field="4294967294" count="1" selected="0">
            <x v="0"/>
          </reference>
          <reference field="0" count="1" selected="0">
            <x v="11"/>
          </reference>
          <reference field="1" count="1" selected="0">
            <x v="1"/>
          </reference>
        </references>
      </pivotArea>
    </chartFormat>
    <chartFormat chart="2" format="44" series="1">
      <pivotArea type="data" outline="0" fieldPosition="0">
        <references count="3">
          <reference field="4294967294" count="1" selected="0">
            <x v="0"/>
          </reference>
          <reference field="0" count="1" selected="0">
            <x v="12"/>
          </reference>
          <reference field="1" count="1" selected="0">
            <x v="1"/>
          </reference>
        </references>
      </pivotArea>
    </chartFormat>
    <chartFormat chart="2" format="45" series="1">
      <pivotArea type="data" outline="0" fieldPosition="0">
        <references count="3">
          <reference field="4294967294" count="1" selected="0">
            <x v="0"/>
          </reference>
          <reference field="0" count="1" selected="0">
            <x v="13"/>
          </reference>
          <reference field="1" count="1" selected="0">
            <x v="1"/>
          </reference>
        </references>
      </pivotArea>
    </chartFormat>
    <chartFormat chart="0" format="20" series="1">
      <pivotArea type="data" outline="0" fieldPosition="0">
        <references count="3">
          <reference field="4294967294" count="1" selected="0">
            <x v="0"/>
          </reference>
          <reference field="0" count="1" selected="0">
            <x v="2"/>
          </reference>
          <reference field="1" count="1" selected="0">
            <x v="0"/>
          </reference>
        </references>
      </pivotArea>
    </chartFormat>
    <chartFormat chart="0" format="21" series="1">
      <pivotArea type="data" outline="0" fieldPosition="0">
        <references count="3">
          <reference field="4294967294" count="1" selected="0">
            <x v="0"/>
          </reference>
          <reference field="0" count="1" selected="0">
            <x v="3"/>
          </reference>
          <reference field="1" count="1" selected="0">
            <x v="0"/>
          </reference>
        </references>
      </pivotArea>
    </chartFormat>
    <chartFormat chart="0" format="22" series="1">
      <pivotArea type="data" outline="0" fieldPosition="0">
        <references count="3">
          <reference field="4294967294" count="1" selected="0">
            <x v="0"/>
          </reference>
          <reference field="0" count="1" selected="0">
            <x v="4"/>
          </reference>
          <reference field="1" count="1" selected="0">
            <x v="0"/>
          </reference>
        </references>
      </pivotArea>
    </chartFormat>
    <chartFormat chart="0" format="23" series="1">
      <pivotArea type="data" outline="0" fieldPosition="0">
        <references count="3">
          <reference field="4294967294" count="1" selected="0">
            <x v="0"/>
          </reference>
          <reference field="0" count="1" selected="0">
            <x v="5"/>
          </reference>
          <reference field="1" count="1" selected="0">
            <x v="0"/>
          </reference>
        </references>
      </pivotArea>
    </chartFormat>
    <chartFormat chart="0" format="24" series="1">
      <pivotArea type="data" outline="0" fieldPosition="0">
        <references count="3">
          <reference field="4294967294" count="1" selected="0">
            <x v="0"/>
          </reference>
          <reference field="0" count="1" selected="0">
            <x v="6"/>
          </reference>
          <reference field="1" count="1" selected="0">
            <x v="0"/>
          </reference>
        </references>
      </pivotArea>
    </chartFormat>
    <chartFormat chart="0" format="25" series="1">
      <pivotArea type="data" outline="0" fieldPosition="0">
        <references count="3">
          <reference field="4294967294" count="1" selected="0">
            <x v="0"/>
          </reference>
          <reference field="0" count="1" selected="0">
            <x v="7"/>
          </reference>
          <reference field="1" count="1" selected="0">
            <x v="0"/>
          </reference>
        </references>
      </pivotArea>
    </chartFormat>
    <chartFormat chart="0" format="26" series="1">
      <pivotArea type="data" outline="0" fieldPosition="0">
        <references count="3">
          <reference field="4294967294" count="1" selected="0">
            <x v="0"/>
          </reference>
          <reference field="0" count="1" selected="0">
            <x v="8"/>
          </reference>
          <reference field="1" count="1" selected="0">
            <x v="0"/>
          </reference>
        </references>
      </pivotArea>
    </chartFormat>
    <chartFormat chart="0" format="27" series="1">
      <pivotArea type="data" outline="0" fieldPosition="0">
        <references count="3">
          <reference field="4294967294" count="1" selected="0">
            <x v="0"/>
          </reference>
          <reference field="0" count="1" selected="0">
            <x v="9"/>
          </reference>
          <reference field="1" count="1" selected="0">
            <x v="0"/>
          </reference>
        </references>
      </pivotArea>
    </chartFormat>
    <chartFormat chart="0" format="28" series="1">
      <pivotArea type="data" outline="0" fieldPosition="0">
        <references count="3">
          <reference field="4294967294" count="1" selected="0">
            <x v="0"/>
          </reference>
          <reference field="0" count="1" selected="0">
            <x v="10"/>
          </reference>
          <reference field="1" count="1" selected="0">
            <x v="0"/>
          </reference>
        </references>
      </pivotArea>
    </chartFormat>
    <chartFormat chart="0" format="29" series="1">
      <pivotArea type="data" outline="0" fieldPosition="0">
        <references count="3">
          <reference field="4294967294" count="1" selected="0">
            <x v="0"/>
          </reference>
          <reference field="0" count="1" selected="0">
            <x v="11"/>
          </reference>
          <reference field="1" count="1" selected="0">
            <x v="0"/>
          </reference>
        </references>
      </pivotArea>
    </chartFormat>
    <chartFormat chart="0" format="30" series="1">
      <pivotArea type="data" outline="0" fieldPosition="0">
        <references count="3">
          <reference field="4294967294" count="1" selected="0">
            <x v="0"/>
          </reference>
          <reference field="0" count="1" selected="0">
            <x v="12"/>
          </reference>
          <reference field="1" count="1" selected="0">
            <x v="0"/>
          </reference>
        </references>
      </pivotArea>
    </chartFormat>
    <chartFormat chart="0" format="31" series="1">
      <pivotArea type="data" outline="0" fieldPosition="0">
        <references count="3">
          <reference field="4294967294" count="1" selected="0">
            <x v="0"/>
          </reference>
          <reference field="0" count="1" selected="0">
            <x v="13"/>
          </reference>
          <reference field="1" count="1" selected="0">
            <x v="0"/>
          </reference>
        </references>
      </pivotArea>
    </chartFormat>
    <chartFormat chart="0" format="32" series="1">
      <pivotArea type="data" outline="0" fieldPosition="0">
        <references count="3">
          <reference field="4294967294" count="1" selected="0">
            <x v="0"/>
          </reference>
          <reference field="0" count="1" selected="0">
            <x v="0"/>
          </reference>
          <reference field="1" count="1" selected="0">
            <x v="1"/>
          </reference>
        </references>
      </pivotArea>
    </chartFormat>
    <chartFormat chart="0" format="33" series="1">
      <pivotArea type="data" outline="0" fieldPosition="0">
        <references count="3">
          <reference field="4294967294" count="1" selected="0">
            <x v="0"/>
          </reference>
          <reference field="0" count="1" selected="0">
            <x v="1"/>
          </reference>
          <reference field="1" count="1" selected="0">
            <x v="1"/>
          </reference>
        </references>
      </pivotArea>
    </chartFormat>
    <chartFormat chart="0" format="34" series="1">
      <pivotArea type="data" outline="0" fieldPosition="0">
        <references count="3">
          <reference field="4294967294" count="1" selected="0">
            <x v="0"/>
          </reference>
          <reference field="0" count="1" selected="0">
            <x v="2"/>
          </reference>
          <reference field="1" count="1" selected="0">
            <x v="1"/>
          </reference>
        </references>
      </pivotArea>
    </chartFormat>
    <chartFormat chart="0" format="35" series="1">
      <pivotArea type="data" outline="0" fieldPosition="0">
        <references count="3">
          <reference field="4294967294" count="1" selected="0">
            <x v="0"/>
          </reference>
          <reference field="0" count="1" selected="0">
            <x v="3"/>
          </reference>
          <reference field="1" count="1" selected="0">
            <x v="1"/>
          </reference>
        </references>
      </pivotArea>
    </chartFormat>
    <chartFormat chart="0" format="36" series="1">
      <pivotArea type="data" outline="0" fieldPosition="0">
        <references count="3">
          <reference field="4294967294" count="1" selected="0">
            <x v="0"/>
          </reference>
          <reference field="0" count="1" selected="0">
            <x v="4"/>
          </reference>
          <reference field="1" count="1" selected="0">
            <x v="1"/>
          </reference>
        </references>
      </pivotArea>
    </chartFormat>
    <chartFormat chart="0" format="37" series="1">
      <pivotArea type="data" outline="0" fieldPosition="0">
        <references count="3">
          <reference field="4294967294" count="1" selected="0">
            <x v="0"/>
          </reference>
          <reference field="0" count="1" selected="0">
            <x v="5"/>
          </reference>
          <reference field="1" count="1" selected="0">
            <x v="1"/>
          </reference>
        </references>
      </pivotArea>
    </chartFormat>
    <chartFormat chart="0" format="38" series="1">
      <pivotArea type="data" outline="0" fieldPosition="0">
        <references count="3">
          <reference field="4294967294" count="1" selected="0">
            <x v="0"/>
          </reference>
          <reference field="0" count="1" selected="0">
            <x v="6"/>
          </reference>
          <reference field="1" count="1" selected="0">
            <x v="1"/>
          </reference>
        </references>
      </pivotArea>
    </chartFormat>
    <chartFormat chart="0" format="39" series="1">
      <pivotArea type="data" outline="0" fieldPosition="0">
        <references count="3">
          <reference field="4294967294" count="1" selected="0">
            <x v="0"/>
          </reference>
          <reference field="0" count="1" selected="0">
            <x v="7"/>
          </reference>
          <reference field="1" count="1" selected="0">
            <x v="1"/>
          </reference>
        </references>
      </pivotArea>
    </chartFormat>
    <chartFormat chart="0" format="40" series="1">
      <pivotArea type="data" outline="0" fieldPosition="0">
        <references count="3">
          <reference field="4294967294" count="1" selected="0">
            <x v="0"/>
          </reference>
          <reference field="0" count="1" selected="0">
            <x v="8"/>
          </reference>
          <reference field="1" count="1" selected="0">
            <x v="1"/>
          </reference>
        </references>
      </pivotArea>
    </chartFormat>
    <chartFormat chart="0" format="41" series="1">
      <pivotArea type="data" outline="0" fieldPosition="0">
        <references count="3">
          <reference field="4294967294" count="1" selected="0">
            <x v="0"/>
          </reference>
          <reference field="0" count="1" selected="0">
            <x v="9"/>
          </reference>
          <reference field="1" count="1" selected="0">
            <x v="1"/>
          </reference>
        </references>
      </pivotArea>
    </chartFormat>
    <chartFormat chart="0" format="42" series="1">
      <pivotArea type="data" outline="0" fieldPosition="0">
        <references count="3">
          <reference field="4294967294" count="1" selected="0">
            <x v="0"/>
          </reference>
          <reference field="0" count="1" selected="0">
            <x v="10"/>
          </reference>
          <reference field="1" count="1" selected="0">
            <x v="1"/>
          </reference>
        </references>
      </pivotArea>
    </chartFormat>
    <chartFormat chart="0" format="43" series="1">
      <pivotArea type="data" outline="0" fieldPosition="0">
        <references count="3">
          <reference field="4294967294" count="1" selected="0">
            <x v="0"/>
          </reference>
          <reference field="0" count="1" selected="0">
            <x v="11"/>
          </reference>
          <reference field="1" count="1" selected="0">
            <x v="1"/>
          </reference>
        </references>
      </pivotArea>
    </chartFormat>
    <chartFormat chart="0" format="44" series="1">
      <pivotArea type="data" outline="0" fieldPosition="0">
        <references count="3">
          <reference field="4294967294" count="1" selected="0">
            <x v="0"/>
          </reference>
          <reference field="0" count="1" selected="0">
            <x v="12"/>
          </reference>
          <reference field="1" count="1" selected="0">
            <x v="1"/>
          </reference>
        </references>
      </pivotArea>
    </chartFormat>
    <chartFormat chart="0" format="45" series="1">
      <pivotArea type="data" outline="0" fieldPosition="0">
        <references count="3">
          <reference field="4294967294" count="1" selected="0">
            <x v="0"/>
          </reference>
          <reference field="0" count="1" selected="0">
            <x v="13"/>
          </reference>
          <reference field="1" count="1" selected="0">
            <x v="1"/>
          </reference>
        </references>
      </pivotArea>
    </chartFormat>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5" format="0" series="1">
      <pivotArea type="data" outline="0" fieldPosition="0">
        <references count="2">
          <reference field="4294967294" count="1" selected="0">
            <x v="0"/>
          </reference>
          <reference field="1" count="1" selected="0">
            <x v="0"/>
          </reference>
        </references>
      </pivotArea>
    </chartFormat>
    <chartFormat chart="5" format="1" series="1">
      <pivotArea type="data" outline="0" fieldPosition="0">
        <references count="2">
          <reference field="4294967294" count="1" selected="0">
            <x v="0"/>
          </reference>
          <reference field="1" count="1" selected="0">
            <x v="1"/>
          </reference>
        </references>
      </pivotArea>
    </chartFormat>
    <chartFormat chart="4" format="2">
      <pivotArea type="data" outline="0" fieldPosition="0">
        <references count="3">
          <reference field="4294967294" count="1" selected="0">
            <x v="0"/>
          </reference>
          <reference field="1" count="1" selected="0">
            <x v="0"/>
          </reference>
          <reference field="2" count="1" selected="0">
            <x v="0"/>
          </reference>
        </references>
      </pivotArea>
    </chartFormat>
    <chartFormat chart="4" format="3">
      <pivotArea type="data" outline="0" fieldPosition="0">
        <references count="3">
          <reference field="4294967294" count="1" selected="0">
            <x v="0"/>
          </reference>
          <reference field="1" count="1" selected="0">
            <x v="0"/>
          </reference>
          <reference field="2" count="1" selected="0">
            <x v="1"/>
          </reference>
        </references>
      </pivotArea>
    </chartFormat>
    <chartFormat chart="4" format="4">
      <pivotArea type="data" outline="0" fieldPosition="0">
        <references count="3">
          <reference field="4294967294" count="1" selected="0">
            <x v="0"/>
          </reference>
          <reference field="1" count="1" selected="0">
            <x v="0"/>
          </reference>
          <reference field="2" count="1" selected="0">
            <x v="2"/>
          </reference>
        </references>
      </pivotArea>
    </chartFormat>
    <chartFormat chart="4" format="5">
      <pivotArea type="data" outline="0" fieldPosition="0">
        <references count="3">
          <reference field="4294967294" count="1" selected="0">
            <x v="0"/>
          </reference>
          <reference field="1" count="1" selected="0">
            <x v="0"/>
          </reference>
          <reference field="2" count="1" selected="0">
            <x v="3"/>
          </reference>
        </references>
      </pivotArea>
    </chartFormat>
    <chartFormat chart="4" format="6">
      <pivotArea type="data" outline="0" fieldPosition="0">
        <references count="3">
          <reference field="4294967294" count="1" selected="0">
            <x v="0"/>
          </reference>
          <reference field="1" count="1" selected="0">
            <x v="0"/>
          </reference>
          <reference field="2" count="1" selected="0">
            <x v="4"/>
          </reference>
        </references>
      </pivotArea>
    </chartFormat>
    <chartFormat chart="4" format="7">
      <pivotArea type="data" outline="0" fieldPosition="0">
        <references count="3">
          <reference field="4294967294" count="1" selected="0">
            <x v="0"/>
          </reference>
          <reference field="1" count="1" selected="0">
            <x v="0"/>
          </reference>
          <reference field="2" count="1" selected="0">
            <x v="5"/>
          </reference>
        </references>
      </pivotArea>
    </chartFormat>
    <chartFormat chart="4" format="8">
      <pivotArea type="data" outline="0" fieldPosition="0">
        <references count="3">
          <reference field="4294967294" count="1" selected="0">
            <x v="0"/>
          </reference>
          <reference field="1" count="1" selected="0">
            <x v="0"/>
          </reference>
          <reference field="2" count="1" selected="0">
            <x v="6"/>
          </reference>
        </references>
      </pivotArea>
    </chartFormat>
    <chartFormat chart="4" format="9">
      <pivotArea type="data" outline="0" fieldPosition="0">
        <references count="3">
          <reference field="4294967294" count="1" selected="0">
            <x v="0"/>
          </reference>
          <reference field="1" count="1" selected="0">
            <x v="0"/>
          </reference>
          <reference field="2" count="1" selected="0">
            <x v="7"/>
          </reference>
        </references>
      </pivotArea>
    </chartFormat>
    <chartFormat chart="4" format="10">
      <pivotArea type="data" outline="0" fieldPosition="0">
        <references count="3">
          <reference field="4294967294" count="1" selected="0">
            <x v="0"/>
          </reference>
          <reference field="1" count="1" selected="0">
            <x v="0"/>
          </reference>
          <reference field="2" count="1" selected="0">
            <x v="8"/>
          </reference>
        </references>
      </pivotArea>
    </chartFormat>
    <chartFormat chart="7" format="21" series="1">
      <pivotArea type="data" outline="0" fieldPosition="0">
        <references count="2">
          <reference field="4294967294" count="1" selected="0">
            <x v="0"/>
          </reference>
          <reference field="1" count="1" selected="0">
            <x v="0"/>
          </reference>
        </references>
      </pivotArea>
    </chartFormat>
    <chartFormat chart="7" format="22">
      <pivotArea type="data" outline="0" fieldPosition="0">
        <references count="3">
          <reference field="4294967294" count="1" selected="0">
            <x v="0"/>
          </reference>
          <reference field="1" count="1" selected="0">
            <x v="0"/>
          </reference>
          <reference field="2" count="1" selected="0">
            <x v="0"/>
          </reference>
        </references>
      </pivotArea>
    </chartFormat>
    <chartFormat chart="7" format="23">
      <pivotArea type="data" outline="0" fieldPosition="0">
        <references count="3">
          <reference field="4294967294" count="1" selected="0">
            <x v="0"/>
          </reference>
          <reference field="1" count="1" selected="0">
            <x v="0"/>
          </reference>
          <reference field="2" count="1" selected="0">
            <x v="1"/>
          </reference>
        </references>
      </pivotArea>
    </chartFormat>
    <chartFormat chart="7" format="24">
      <pivotArea type="data" outline="0" fieldPosition="0">
        <references count="3">
          <reference field="4294967294" count="1" selected="0">
            <x v="0"/>
          </reference>
          <reference field="1" count="1" selected="0">
            <x v="0"/>
          </reference>
          <reference field="2" count="1" selected="0">
            <x v="2"/>
          </reference>
        </references>
      </pivotArea>
    </chartFormat>
    <chartFormat chart="7" format="25">
      <pivotArea type="data" outline="0" fieldPosition="0">
        <references count="3">
          <reference field="4294967294" count="1" selected="0">
            <x v="0"/>
          </reference>
          <reference field="1" count="1" selected="0">
            <x v="0"/>
          </reference>
          <reference field="2" count="1" selected="0">
            <x v="3"/>
          </reference>
        </references>
      </pivotArea>
    </chartFormat>
    <chartFormat chart="7" format="26">
      <pivotArea type="data" outline="0" fieldPosition="0">
        <references count="3">
          <reference field="4294967294" count="1" selected="0">
            <x v="0"/>
          </reference>
          <reference field="1" count="1" selected="0">
            <x v="0"/>
          </reference>
          <reference field="2" count="1" selected="0">
            <x v="4"/>
          </reference>
        </references>
      </pivotArea>
    </chartFormat>
    <chartFormat chart="7" format="27">
      <pivotArea type="data" outline="0" fieldPosition="0">
        <references count="3">
          <reference field="4294967294" count="1" selected="0">
            <x v="0"/>
          </reference>
          <reference field="1" count="1" selected="0">
            <x v="0"/>
          </reference>
          <reference field="2" count="1" selected="0">
            <x v="5"/>
          </reference>
        </references>
      </pivotArea>
    </chartFormat>
    <chartFormat chart="7" format="28">
      <pivotArea type="data" outline="0" fieldPosition="0">
        <references count="3">
          <reference field="4294967294" count="1" selected="0">
            <x v="0"/>
          </reference>
          <reference field="1" count="1" selected="0">
            <x v="0"/>
          </reference>
          <reference field="2" count="1" selected="0">
            <x v="6"/>
          </reference>
        </references>
      </pivotArea>
    </chartFormat>
    <chartFormat chart="7" format="29">
      <pivotArea type="data" outline="0" fieldPosition="0">
        <references count="3">
          <reference field="4294967294" count="1" selected="0">
            <x v="0"/>
          </reference>
          <reference field="1" count="1" selected="0">
            <x v="0"/>
          </reference>
          <reference field="2" count="1" selected="0">
            <x v="7"/>
          </reference>
        </references>
      </pivotArea>
    </chartFormat>
    <chartFormat chart="7" format="30">
      <pivotArea type="data" outline="0" fieldPosition="0">
        <references count="3">
          <reference field="4294967294" count="1" selected="0">
            <x v="0"/>
          </reference>
          <reference field="1" count="1" selected="0">
            <x v="0"/>
          </reference>
          <reference field="2" count="1" selected="0">
            <x v="8"/>
          </reference>
        </references>
      </pivotArea>
    </chartFormat>
    <chartFormat chart="7" format="31" series="1">
      <pivotArea type="data" outline="0" fieldPosition="0">
        <references count="2">
          <reference field="4294967294" count="1" selected="0">
            <x v="0"/>
          </reference>
          <reference field="1" count="1" selected="0">
            <x v="1"/>
          </reference>
        </references>
      </pivotArea>
    </chartFormat>
    <chartFormat chart="18" format="47" series="1">
      <pivotArea type="data" outline="0" fieldPosition="0">
        <references count="2">
          <reference field="4294967294" count="1" selected="0">
            <x v="0"/>
          </reference>
          <reference field="1" count="1" selected="0">
            <x v="0"/>
          </reference>
        </references>
      </pivotArea>
    </chartFormat>
    <chartFormat chart="20" format="47" series="1">
      <pivotArea type="data" outline="0" fieldPosition="0">
        <references count="2">
          <reference field="4294967294" count="1" selected="0">
            <x v="0"/>
          </reference>
          <reference field="1" count="1" selected="0">
            <x v="0"/>
          </reference>
        </references>
      </pivotArea>
    </chartFormat>
    <chartFormat chart="20" format="48" series="1">
      <pivotArea type="data" outline="0" fieldPosition="0">
        <references count="2">
          <reference field="4294967294" count="1" selected="0">
            <x v="0"/>
          </reference>
          <reference field="1" count="1" selected="0">
            <x v="1"/>
          </reference>
        </references>
      </pivotArea>
    </chartFormat>
    <chartFormat chart="18" format="48"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1FCBD99-C079-4184-8513-9F1792FF846A}" autoFormatId="16" applyNumberFormats="0" applyBorderFormats="0" applyFontFormats="0" applyPatternFormats="0" applyAlignmentFormats="0" applyWidthHeightFormats="0">
  <queryTableRefresh nextId="5">
    <queryTableFields count="4">
      <queryTableField id="1" name="Country Name" tableColumnId="1"/>
      <queryTableField id="2" name="Series Name" tableColumnId="2"/>
      <queryTableField id="3" name="Attribute" tableColumnId="3"/>
      <queryTableField id="4" name="Valu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Name" xr10:uid="{98997D67-DFC1-4743-8A7A-048D04F5E2D3}" sourceName="Country Name">
  <pivotTables>
    <pivotTable tabId="9" name="PivotTable3"/>
  </pivotTables>
  <data>
    <tabular pivotCacheId="1169745398">
      <items count="14">
        <i x="12"/>
        <i x="13"/>
        <i x="6"/>
        <i x="8"/>
        <i x="5"/>
        <i x="3"/>
        <i x="1"/>
        <i x="2"/>
        <i x="0"/>
        <i x="4"/>
        <i x="11" s="1"/>
        <i x="7"/>
        <i x="9"/>
        <i x="1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ies_Name" xr10:uid="{982FFD7A-313B-4F10-9BB7-965EE848E3D1}" sourceName="Series Name">
  <pivotTables>
    <pivotTable tabId="9" name="PivotTable3"/>
  </pivotTables>
  <data>
    <tabular pivotCacheId="116974539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Name" xr10:uid="{985AD75E-CB90-4524-928C-310FF3BB010B}" cache="Slicer_Country_Name" caption="Country Name" rowHeight="234950"/>
  <slicer name="Series Name" xr10:uid="{DAAC50DE-7778-4D87-B616-1C68200B981A}" cache="Slicer_Series_Name" caption="Series Na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Name 1" xr10:uid="{1856DE5B-8187-45EB-9B42-F84116323FE2}" cache="Slicer_Country_Name" caption="Country Name" startItem="3" style="SlicerStyleDark3" rowHeight="234950"/>
  <slicer name="Series Name 1" xr10:uid="{DFA14063-6B9F-4309-A501-E4DC2980095B}" cache="Slicer_Series_Name" caption="Series Name" style="SlicerStyleDark5"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D4D8CF-5DFE-4046-8395-708A7FC62850}" name="Table1" displayName="Table1" ref="A1:K30" totalsRowCount="1">
  <autoFilter ref="A1:K29" xr:uid="{3FD4D8CF-5DFE-4046-8395-708A7FC62850}"/>
  <tableColumns count="11">
    <tableColumn id="1" xr3:uid="{B3E4D83E-359C-41BB-812E-6F907C37E8D7}" name="Country Name"/>
    <tableColumn id="2" xr3:uid="{3EEF7249-45BB-4D6A-B888-C619FECA3B52}" name="Series Name"/>
    <tableColumn id="3" xr3:uid="{B7F763D1-12AE-481B-9C55-99821AEE2D87}" name="2015 [YR2015]"/>
    <tableColumn id="4" xr3:uid="{128C676A-C3A6-418B-99FF-FDA23846AD2A}" name="2016 [YR2016]"/>
    <tableColumn id="5" xr3:uid="{293D969F-4D12-4AFB-B225-8346ECE03FE7}" name="2017 [YR2017]"/>
    <tableColumn id="6" xr3:uid="{7128557F-1504-4665-863F-697944FCD273}" name="2018 [YR2018]"/>
    <tableColumn id="7" xr3:uid="{020E9CE3-7A16-4485-AE1A-C4C5088DB705}" name="2019 [YR2019]"/>
    <tableColumn id="8" xr3:uid="{5BFE3284-D686-4812-A650-DA883E1E1D99}" name="2020 [YR2020]"/>
    <tableColumn id="9" xr3:uid="{F855C847-2D02-4E4B-B187-D2379B9C317A}" name="2021 [YR2021]"/>
    <tableColumn id="10" xr3:uid="{817322A3-B9E4-415A-BC15-758DE95F7803}" name="2022 [YR2022]"/>
    <tableColumn id="11" xr3:uid="{FE65991D-ED05-48E6-8AF1-4507E6E8C6DC}" name="2023 [YR202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701EB0-5166-4844-BEC9-18A3D75190A9}" name="Table1_1" displayName="Table1_1" ref="A1:D253" tableType="queryTable" totalsRowShown="0">
  <autoFilter ref="A1:D253" xr:uid="{FB701EB0-5166-4844-BEC9-18A3D75190A9}"/>
  <tableColumns count="4">
    <tableColumn id="1" xr3:uid="{D1B3150A-8927-481E-B52E-DB99B7E9DA07}" uniqueName="1" name="Country Name" queryTableFieldId="1" dataDxfId="2"/>
    <tableColumn id="2" xr3:uid="{74023804-138B-48A6-BACD-52ADDF4A7A4E}" uniqueName="2" name="Series Name" queryTableFieldId="2" dataDxfId="1"/>
    <tableColumn id="3" xr3:uid="{2882DAAE-9F19-4340-BA2B-EA4094B2B747}" uniqueName="3" name="Attribute" queryTableFieldId="3" dataDxfId="0"/>
    <tableColumn id="4" xr3:uid="{5E666658-C48A-4F3E-BFEC-7F81CFA6BF5F}" uniqueName="4" name="Value"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4"/>
  <sheetViews>
    <sheetView zoomScale="80" zoomScaleNormal="80" workbookViewId="0">
      <selection activeCell="D32" sqref="D32"/>
    </sheetView>
  </sheetViews>
  <sheetFormatPr defaultRowHeight="14.4" x14ac:dyDescent="0.3"/>
  <cols>
    <col min="1" max="1" width="46.33203125" customWidth="1"/>
    <col min="2" max="2" width="52.109375" customWidth="1"/>
    <col min="3" max="3" width="16.33203125" bestFit="1" customWidth="1"/>
    <col min="4" max="11" width="16.21875" customWidth="1"/>
  </cols>
  <sheetData>
    <row r="1" spans="1:11" x14ac:dyDescent="0.3">
      <c r="A1" t="s">
        <v>23</v>
      </c>
      <c r="B1" t="s">
        <v>56</v>
      </c>
      <c r="C1" t="s">
        <v>53</v>
      </c>
      <c r="D1" t="s">
        <v>29</v>
      </c>
      <c r="E1" t="s">
        <v>22</v>
      </c>
      <c r="F1" t="s">
        <v>10</v>
      </c>
      <c r="G1" t="s">
        <v>50</v>
      </c>
      <c r="H1" t="s">
        <v>44</v>
      </c>
      <c r="I1" t="s">
        <v>39</v>
      </c>
      <c r="J1" t="s">
        <v>69</v>
      </c>
      <c r="K1" t="s">
        <v>62</v>
      </c>
    </row>
    <row r="2" spans="1:11" x14ac:dyDescent="0.3">
      <c r="A2" t="s">
        <v>34</v>
      </c>
      <c r="B2" t="s">
        <v>5</v>
      </c>
      <c r="C2">
        <v>8.4570000000000007</v>
      </c>
      <c r="D2">
        <v>9.1</v>
      </c>
      <c r="E2">
        <v>9.7070000000000007</v>
      </c>
      <c r="F2">
        <v>10.138</v>
      </c>
      <c r="G2">
        <v>10.417999999999999</v>
      </c>
      <c r="H2">
        <v>10.842000000000001</v>
      </c>
      <c r="I2">
        <v>8.9909999999999997</v>
      </c>
      <c r="J2">
        <v>6.024</v>
      </c>
      <c r="K2">
        <v>5.1310000000000002</v>
      </c>
    </row>
    <row r="3" spans="1:11" x14ac:dyDescent="0.3">
      <c r="A3" t="s">
        <v>34</v>
      </c>
      <c r="B3" t="s">
        <v>1</v>
      </c>
      <c r="C3">
        <v>22.514200209999998</v>
      </c>
      <c r="D3">
        <v>24.137500760000002</v>
      </c>
      <c r="E3">
        <v>25.877899169999999</v>
      </c>
      <c r="F3">
        <v>27.743700029999999</v>
      </c>
      <c r="G3">
        <v>29.744100570000001</v>
      </c>
      <c r="H3">
        <v>31.888799670000001</v>
      </c>
      <c r="I3">
        <v>35.509799960000002</v>
      </c>
      <c r="J3">
        <v>39.147201539999998</v>
      </c>
      <c r="K3">
        <v>40.063999180000003</v>
      </c>
    </row>
    <row r="4" spans="1:11" x14ac:dyDescent="0.3">
      <c r="A4" t="s">
        <v>38</v>
      </c>
      <c r="B4" t="s">
        <v>5</v>
      </c>
      <c r="C4">
        <v>6.75</v>
      </c>
      <c r="D4">
        <v>6.819</v>
      </c>
      <c r="E4">
        <v>6.8650000000000002</v>
      </c>
      <c r="F4">
        <v>6.8529999999999998</v>
      </c>
      <c r="G4">
        <v>6.8120000000000003</v>
      </c>
      <c r="H4">
        <v>7.8310000000000004</v>
      </c>
      <c r="I4">
        <v>7.6319999999999997</v>
      </c>
      <c r="J4">
        <v>6.8479999999999999</v>
      </c>
      <c r="K4">
        <v>6.8419999999999996</v>
      </c>
    </row>
    <row r="5" spans="1:11" x14ac:dyDescent="0.3">
      <c r="A5" t="s">
        <v>38</v>
      </c>
      <c r="B5" t="s">
        <v>1</v>
      </c>
      <c r="C5">
        <v>6</v>
      </c>
      <c r="D5">
        <v>6.3000001909999996</v>
      </c>
      <c r="E5">
        <v>7</v>
      </c>
      <c r="F5">
        <v>8.7982997889999996</v>
      </c>
      <c r="G5">
        <v>11.05860043</v>
      </c>
      <c r="H5">
        <v>13.89949989</v>
      </c>
      <c r="I5">
        <v>15.303000450000001</v>
      </c>
      <c r="J5">
        <v>16.848300930000001</v>
      </c>
      <c r="K5">
        <v>17.988103460000001</v>
      </c>
    </row>
    <row r="6" spans="1:11" x14ac:dyDescent="0.3">
      <c r="A6" t="s">
        <v>13</v>
      </c>
      <c r="B6" t="s">
        <v>5</v>
      </c>
      <c r="C6">
        <v>7.0970000000000004</v>
      </c>
      <c r="D6">
        <v>7.4009999999999998</v>
      </c>
      <c r="E6">
        <v>7.798</v>
      </c>
      <c r="F6">
        <v>8.173</v>
      </c>
      <c r="G6">
        <v>8.5109999999999992</v>
      </c>
      <c r="H6">
        <v>9.7070000000000007</v>
      </c>
      <c r="I6">
        <v>9.8360000000000003</v>
      </c>
      <c r="J6">
        <v>11.619</v>
      </c>
      <c r="K6">
        <v>11.471</v>
      </c>
    </row>
    <row r="7" spans="1:11" x14ac:dyDescent="0.3">
      <c r="A7" t="s">
        <v>13</v>
      </c>
      <c r="B7" t="s">
        <v>1</v>
      </c>
      <c r="C7">
        <v>6.5</v>
      </c>
      <c r="D7">
        <v>7</v>
      </c>
      <c r="E7">
        <v>7.7963266079129001</v>
      </c>
      <c r="F7">
        <v>10.899999619999999</v>
      </c>
      <c r="G7">
        <v>12.47929955</v>
      </c>
      <c r="H7">
        <v>14.287400249999999</v>
      </c>
      <c r="I7">
        <v>16.357599260000001</v>
      </c>
      <c r="J7">
        <v>18.962200159999998</v>
      </c>
      <c r="K7">
        <v>19.945600509999998</v>
      </c>
    </row>
    <row r="8" spans="1:11" x14ac:dyDescent="0.3">
      <c r="A8" t="s">
        <v>20</v>
      </c>
      <c r="B8" t="s">
        <v>5</v>
      </c>
      <c r="C8">
        <v>7.2990000000000004</v>
      </c>
      <c r="D8">
        <v>7.3330000000000002</v>
      </c>
      <c r="E8">
        <v>9.0969999999999995</v>
      </c>
      <c r="F8">
        <v>10.818</v>
      </c>
      <c r="G8">
        <v>12.547000000000001</v>
      </c>
      <c r="H8">
        <v>13.619</v>
      </c>
      <c r="I8">
        <v>12.231999999999999</v>
      </c>
      <c r="J8">
        <v>15.488</v>
      </c>
      <c r="K8">
        <v>15.164</v>
      </c>
    </row>
    <row r="9" spans="1:11" x14ac:dyDescent="0.3">
      <c r="A9" t="s">
        <v>20</v>
      </c>
      <c r="B9" t="s">
        <v>1</v>
      </c>
      <c r="C9">
        <v>16.5878548475992</v>
      </c>
      <c r="D9">
        <v>16.600000000000001</v>
      </c>
      <c r="E9">
        <v>17.82710075</v>
      </c>
      <c r="F9">
        <v>19.5</v>
      </c>
      <c r="G9">
        <v>22.668773361817099</v>
      </c>
      <c r="H9">
        <v>24.722799299999998</v>
      </c>
      <c r="I9">
        <v>26.96290016</v>
      </c>
      <c r="J9">
        <v>29.405899049999999</v>
      </c>
      <c r="K9">
        <v>32.070400239999998</v>
      </c>
    </row>
    <row r="10" spans="1:11" x14ac:dyDescent="0.3">
      <c r="A10" t="s">
        <v>16</v>
      </c>
      <c r="B10" t="s">
        <v>5</v>
      </c>
      <c r="C10">
        <v>16.599</v>
      </c>
      <c r="D10">
        <v>16.594999999999999</v>
      </c>
      <c r="E10">
        <v>16.731999999999999</v>
      </c>
      <c r="F10">
        <v>16.263999999999999</v>
      </c>
      <c r="G10">
        <v>16.052</v>
      </c>
      <c r="H10">
        <v>15.946999999999999</v>
      </c>
      <c r="I10">
        <v>23.312000000000001</v>
      </c>
      <c r="J10">
        <v>22.202999999999999</v>
      </c>
      <c r="K10">
        <v>18.172000000000001</v>
      </c>
    </row>
    <row r="11" spans="1:11" x14ac:dyDescent="0.3">
      <c r="A11" t="s">
        <v>16</v>
      </c>
      <c r="B11" t="s">
        <v>1</v>
      </c>
      <c r="C11">
        <v>12.45600033</v>
      </c>
      <c r="D11">
        <v>14.637100220000001</v>
      </c>
      <c r="E11">
        <v>17.2</v>
      </c>
      <c r="F11">
        <v>19.166599269999999</v>
      </c>
      <c r="G11">
        <v>21.357999800000002</v>
      </c>
      <c r="H11">
        <v>23.8</v>
      </c>
      <c r="I11">
        <v>24.4416008</v>
      </c>
      <c r="J11">
        <v>28.016799930000001</v>
      </c>
      <c r="K11">
        <v>28.805799480000001</v>
      </c>
    </row>
    <row r="12" spans="1:11" x14ac:dyDescent="0.3">
      <c r="A12" t="s">
        <v>32</v>
      </c>
      <c r="B12" t="s">
        <v>5</v>
      </c>
      <c r="C12">
        <v>14.238</v>
      </c>
      <c r="D12">
        <v>10.616</v>
      </c>
      <c r="E12">
        <v>6.375</v>
      </c>
      <c r="F12">
        <v>6.1070000000000002</v>
      </c>
      <c r="G12">
        <v>5.875</v>
      </c>
      <c r="H12">
        <v>6.319</v>
      </c>
      <c r="I12">
        <v>5.9850000000000003</v>
      </c>
      <c r="J12">
        <v>5.4020000000000001</v>
      </c>
      <c r="K12">
        <v>5.3520000000000003</v>
      </c>
    </row>
    <row r="13" spans="1:11" x14ac:dyDescent="0.3">
      <c r="A13" t="s">
        <v>32</v>
      </c>
      <c r="B13" t="s">
        <v>1</v>
      </c>
      <c r="C13">
        <v>23</v>
      </c>
      <c r="D13">
        <v>28</v>
      </c>
      <c r="E13">
        <v>37.884201050000001</v>
      </c>
      <c r="F13">
        <v>43</v>
      </c>
      <c r="G13">
        <v>22.0732</v>
      </c>
      <c r="H13">
        <v>62.51760101</v>
      </c>
      <c r="I13">
        <v>68.599999999999994</v>
      </c>
      <c r="J13">
        <v>69.913299559999999</v>
      </c>
      <c r="K13">
        <v>70.674301150000005</v>
      </c>
    </row>
    <row r="14" spans="1:11" x14ac:dyDescent="0.3">
      <c r="A14" t="s">
        <v>63</v>
      </c>
      <c r="B14" t="s">
        <v>5</v>
      </c>
      <c r="C14">
        <v>34.159999999999997</v>
      </c>
      <c r="D14">
        <v>33.655000000000001</v>
      </c>
      <c r="E14">
        <v>32.643999999999998</v>
      </c>
      <c r="F14">
        <v>26.251999999999999</v>
      </c>
      <c r="G14">
        <v>20.631</v>
      </c>
      <c r="H14">
        <v>18.463000000000001</v>
      </c>
      <c r="I14">
        <v>18.21</v>
      </c>
      <c r="J14">
        <v>16.341999999999999</v>
      </c>
      <c r="K14">
        <v>17.152999999999999</v>
      </c>
    </row>
    <row r="15" spans="1:11" x14ac:dyDescent="0.3">
      <c r="A15" t="s">
        <v>63</v>
      </c>
      <c r="B15" t="s">
        <v>1</v>
      </c>
      <c r="C15">
        <v>37.8193834276939</v>
      </c>
      <c r="D15">
        <v>41.248067088577201</v>
      </c>
      <c r="E15">
        <v>44.950204245285697</v>
      </c>
      <c r="F15">
        <v>46.924336767920003</v>
      </c>
      <c r="G15">
        <v>57.282866399019497</v>
      </c>
      <c r="H15">
        <v>71.914200960000002</v>
      </c>
      <c r="I15">
        <v>72.055999760000006</v>
      </c>
      <c r="J15">
        <v>72.198065560000003</v>
      </c>
      <c r="K15">
        <v>74.011901859999995</v>
      </c>
    </row>
    <row r="16" spans="1:11" x14ac:dyDescent="0.3">
      <c r="A16" t="s">
        <v>48</v>
      </c>
      <c r="B16" t="s">
        <v>5</v>
      </c>
      <c r="C16">
        <v>3.4430000000000001</v>
      </c>
      <c r="D16">
        <v>3.2410000000000001</v>
      </c>
      <c r="E16">
        <v>3.0369999999999999</v>
      </c>
      <c r="F16">
        <v>2.8460000000000001</v>
      </c>
      <c r="G16">
        <v>2.657</v>
      </c>
      <c r="H16">
        <v>2.746</v>
      </c>
      <c r="I16">
        <v>2.7519999999999998</v>
      </c>
      <c r="J16">
        <v>2.3439999999999999</v>
      </c>
      <c r="K16">
        <v>2.339</v>
      </c>
    </row>
    <row r="17" spans="1:11" x14ac:dyDescent="0.3">
      <c r="A17" t="s">
        <v>48</v>
      </c>
      <c r="B17" t="s">
        <v>1</v>
      </c>
      <c r="C17">
        <v>10</v>
      </c>
      <c r="D17">
        <v>13.504232846891901</v>
      </c>
      <c r="E17">
        <v>14.46339989</v>
      </c>
      <c r="F17">
        <v>15.490699770000001</v>
      </c>
      <c r="G17">
        <v>16.590900420000001</v>
      </c>
      <c r="H17">
        <v>19.481399540000002</v>
      </c>
      <c r="I17">
        <v>22.875400540000001</v>
      </c>
      <c r="J17">
        <v>26.860599520000001</v>
      </c>
      <c r="K17">
        <v>28.43190002</v>
      </c>
    </row>
    <row r="18" spans="1:11" x14ac:dyDescent="0.3">
      <c r="A18" t="s">
        <v>6</v>
      </c>
      <c r="B18" t="s">
        <v>5</v>
      </c>
      <c r="C18">
        <v>3.8130000000000002</v>
      </c>
      <c r="D18">
        <v>4.0309999999999997</v>
      </c>
      <c r="E18">
        <v>4.25</v>
      </c>
      <c r="F18">
        <v>4.5149999999999997</v>
      </c>
      <c r="G18">
        <v>4.7519999999999998</v>
      </c>
      <c r="H18">
        <v>6.3559999999999999</v>
      </c>
      <c r="I18">
        <v>6.2460000000000004</v>
      </c>
      <c r="J18">
        <v>5.45</v>
      </c>
      <c r="K18">
        <v>5.4550000000000001</v>
      </c>
    </row>
    <row r="19" spans="1:11" x14ac:dyDescent="0.3">
      <c r="A19" t="s">
        <v>6</v>
      </c>
      <c r="B19" t="s">
        <v>1</v>
      </c>
      <c r="C19">
        <v>13.855175555555601</v>
      </c>
      <c r="D19">
        <v>15.366923859589599</v>
      </c>
      <c r="E19">
        <v>15.624400140000001</v>
      </c>
      <c r="F19">
        <v>15.88619995</v>
      </c>
      <c r="G19">
        <v>15.984600070000001</v>
      </c>
      <c r="H19">
        <v>16.069599149999998</v>
      </c>
      <c r="I19">
        <v>16.698103100000001</v>
      </c>
      <c r="J19">
        <v>17.9836998</v>
      </c>
      <c r="K19">
        <v>20.337499619999999</v>
      </c>
    </row>
    <row r="20" spans="1:11" x14ac:dyDescent="0.3">
      <c r="A20" t="s">
        <v>8</v>
      </c>
      <c r="B20" t="s">
        <v>5</v>
      </c>
      <c r="C20">
        <v>3.871</v>
      </c>
      <c r="D20">
        <v>4.4109999999999996</v>
      </c>
      <c r="E20">
        <v>5.0519999999999996</v>
      </c>
      <c r="F20">
        <v>4.8840000000000003</v>
      </c>
      <c r="G20">
        <v>4.6909999999999998</v>
      </c>
      <c r="H20">
        <v>5.6879999999999997</v>
      </c>
      <c r="I20">
        <v>5.04</v>
      </c>
      <c r="J20">
        <v>4.335</v>
      </c>
      <c r="K20">
        <v>4.2080000000000002</v>
      </c>
    </row>
    <row r="21" spans="1:11" x14ac:dyDescent="0.3">
      <c r="A21" t="s">
        <v>8</v>
      </c>
      <c r="B21" t="s">
        <v>1</v>
      </c>
      <c r="C21">
        <v>5.6999998090000004</v>
      </c>
      <c r="D21">
        <v>5.9</v>
      </c>
      <c r="E21">
        <v>7.4179000850000003</v>
      </c>
      <c r="F21">
        <v>9.3262996670000007</v>
      </c>
      <c r="G21">
        <v>11.72579956</v>
      </c>
      <c r="H21">
        <v>7.4</v>
      </c>
      <c r="I21">
        <v>10</v>
      </c>
      <c r="J21">
        <v>9.6368999479999999</v>
      </c>
      <c r="K21">
        <v>9.2869997019999992</v>
      </c>
    </row>
    <row r="22" spans="1:11" x14ac:dyDescent="0.3">
      <c r="A22" t="s">
        <v>19</v>
      </c>
      <c r="B22" t="s">
        <v>5</v>
      </c>
      <c r="C22">
        <v>12.364000000000001</v>
      </c>
      <c r="D22">
        <v>10.506</v>
      </c>
      <c r="E22">
        <v>8.5139999999999993</v>
      </c>
      <c r="F22">
        <v>8.7449999999999992</v>
      </c>
      <c r="G22">
        <v>10.348000000000001</v>
      </c>
      <c r="H22">
        <v>11.042</v>
      </c>
      <c r="I22">
        <v>9.3640000000000008</v>
      </c>
      <c r="J22">
        <v>9.8490000000000002</v>
      </c>
      <c r="K22">
        <v>10.038</v>
      </c>
    </row>
    <row r="23" spans="1:11" x14ac:dyDescent="0.3">
      <c r="A23" t="s">
        <v>19</v>
      </c>
      <c r="B23" t="s">
        <v>1</v>
      </c>
      <c r="C23">
        <v>8.8000000000000007</v>
      </c>
      <c r="D23">
        <v>10.30000019</v>
      </c>
      <c r="E23">
        <v>12.19999981</v>
      </c>
      <c r="F23">
        <v>14.299997095001199</v>
      </c>
      <c r="G23">
        <v>14.471899990000001</v>
      </c>
      <c r="H23">
        <v>14.64579964</v>
      </c>
      <c r="I23">
        <v>14.82190037</v>
      </c>
      <c r="J23">
        <v>15</v>
      </c>
      <c r="K23">
        <v>16.45070076</v>
      </c>
    </row>
    <row r="24" spans="1:11" x14ac:dyDescent="0.3">
      <c r="A24" t="s">
        <v>45</v>
      </c>
      <c r="B24" t="s">
        <v>5</v>
      </c>
      <c r="C24">
        <v>8.0449999999999999</v>
      </c>
      <c r="D24">
        <v>6.3739999999999997</v>
      </c>
      <c r="E24">
        <v>5.8360000000000003</v>
      </c>
      <c r="F24">
        <v>4.92</v>
      </c>
      <c r="G24">
        <v>4.0369999999999999</v>
      </c>
      <c r="H24">
        <v>4.8170000000000002</v>
      </c>
      <c r="I24">
        <v>4.6609999999999996</v>
      </c>
      <c r="J24">
        <v>3.9020000000000001</v>
      </c>
      <c r="K24">
        <v>3.859</v>
      </c>
    </row>
    <row r="25" spans="1:11" x14ac:dyDescent="0.3">
      <c r="A25" t="s">
        <v>45</v>
      </c>
      <c r="B25" t="s">
        <v>1</v>
      </c>
      <c r="C25">
        <v>21.700000760000002</v>
      </c>
      <c r="D25">
        <v>25.664800639999999</v>
      </c>
      <c r="E25">
        <v>29.643100740000001</v>
      </c>
      <c r="F25">
        <v>35.299999239999998</v>
      </c>
      <c r="G25">
        <v>43.379699709999997</v>
      </c>
      <c r="H25">
        <v>53.308799739999998</v>
      </c>
      <c r="I25">
        <v>55.040401459999998</v>
      </c>
      <c r="J25">
        <v>56.828300480000003</v>
      </c>
      <c r="K25">
        <v>59.187400820000001</v>
      </c>
    </row>
    <row r="26" spans="1:11" x14ac:dyDescent="0.3">
      <c r="A26" t="s">
        <v>58</v>
      </c>
      <c r="B26" t="s">
        <v>5</v>
      </c>
      <c r="C26">
        <v>6.2329999999999997</v>
      </c>
      <c r="D26">
        <v>6.3010000000000002</v>
      </c>
      <c r="E26">
        <v>6.407</v>
      </c>
      <c r="F26">
        <v>6.5030000000000001</v>
      </c>
      <c r="G26">
        <v>6.585</v>
      </c>
      <c r="H26">
        <v>7.3710000000000004</v>
      </c>
      <c r="I26">
        <v>7.2249999999999996</v>
      </c>
      <c r="J26">
        <v>6.6669999999999998</v>
      </c>
      <c r="K26">
        <v>6.6210000000000004</v>
      </c>
    </row>
    <row r="27" spans="1:11" x14ac:dyDescent="0.3">
      <c r="A27" t="s">
        <v>58</v>
      </c>
      <c r="B27" t="s">
        <v>1</v>
      </c>
      <c r="C27">
        <v>18.299999239999998</v>
      </c>
      <c r="D27">
        <v>20.600000380000001</v>
      </c>
      <c r="E27">
        <v>23.2029719748646</v>
      </c>
      <c r="F27">
        <v>29.700000760000002</v>
      </c>
      <c r="G27">
        <v>36.539199830000001</v>
      </c>
      <c r="H27">
        <v>37.697498320000001</v>
      </c>
      <c r="I27">
        <v>38.89260101</v>
      </c>
      <c r="J27">
        <v>40.125598910000001</v>
      </c>
      <c r="K27">
        <v>42.243801120000001</v>
      </c>
    </row>
    <row r="28" spans="1:11" x14ac:dyDescent="0.3">
      <c r="A28" t="s">
        <v>36</v>
      </c>
      <c r="B28" t="s">
        <v>5</v>
      </c>
      <c r="C28">
        <v>3.3759999999999999</v>
      </c>
      <c r="D28">
        <v>2.04</v>
      </c>
      <c r="E28">
        <v>5.2569999999999997</v>
      </c>
      <c r="F28">
        <v>4.6669999999999998</v>
      </c>
      <c r="G28">
        <v>4.0430000000000001</v>
      </c>
      <c r="H28">
        <v>4.6870000000000003</v>
      </c>
      <c r="I28">
        <v>4.7530000000000001</v>
      </c>
      <c r="J28">
        <v>4.3040000000000003</v>
      </c>
      <c r="K28">
        <v>4.2430000000000003</v>
      </c>
    </row>
    <row r="29" spans="1:11" x14ac:dyDescent="0.3">
      <c r="A29" t="s">
        <v>36</v>
      </c>
      <c r="B29" t="s">
        <v>1</v>
      </c>
      <c r="C29">
        <v>38.440000165461598</v>
      </c>
      <c r="D29">
        <v>41.207814930441401</v>
      </c>
      <c r="E29">
        <v>43.839920851487598</v>
      </c>
      <c r="F29">
        <v>37.546536130128104</v>
      </c>
      <c r="G29">
        <v>36.288954565520498</v>
      </c>
      <c r="H29">
        <v>36.016601559999998</v>
      </c>
      <c r="I29">
        <v>35.950698850000002</v>
      </c>
      <c r="J29">
        <v>38.413281220000002</v>
      </c>
      <c r="K29">
        <v>40.652849789999998</v>
      </c>
    </row>
    <row r="33" spans="1:1" x14ac:dyDescent="0.3">
      <c r="A33" t="s">
        <v>11</v>
      </c>
    </row>
    <row r="34" spans="1:1" x14ac:dyDescent="0.3">
      <c r="A34" t="s">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877E9-10C6-445D-807D-0CDCF67B1A90}">
  <dimension ref="A1:D253"/>
  <sheetViews>
    <sheetView topLeftCell="A234" workbookViewId="0">
      <selection activeCell="B13" sqref="B13"/>
    </sheetView>
  </sheetViews>
  <sheetFormatPr defaultRowHeight="14.4" x14ac:dyDescent="0.3"/>
  <cols>
    <col min="1" max="1" width="15.5546875" bestFit="1" customWidth="1"/>
    <col min="2" max="2" width="72.77734375" bestFit="1" customWidth="1"/>
    <col min="3" max="3" width="12.88671875" bestFit="1" customWidth="1"/>
    <col min="4" max="4" width="12" bestFit="1" customWidth="1"/>
  </cols>
  <sheetData>
    <row r="1" spans="1:4" x14ac:dyDescent="0.3">
      <c r="A1" t="s">
        <v>23</v>
      </c>
      <c r="B1" t="s">
        <v>56</v>
      </c>
      <c r="C1" t="s">
        <v>79</v>
      </c>
      <c r="D1" t="s">
        <v>80</v>
      </c>
    </row>
    <row r="2" spans="1:4" x14ac:dyDescent="0.3">
      <c r="A2" t="s">
        <v>34</v>
      </c>
      <c r="B2" t="s">
        <v>5</v>
      </c>
      <c r="C2" t="s">
        <v>53</v>
      </c>
      <c r="D2">
        <v>8.4570000000000007</v>
      </c>
    </row>
    <row r="3" spans="1:4" x14ac:dyDescent="0.3">
      <c r="A3" t="s">
        <v>34</v>
      </c>
      <c r="B3" t="s">
        <v>5</v>
      </c>
      <c r="C3" t="s">
        <v>29</v>
      </c>
      <c r="D3">
        <v>9.1</v>
      </c>
    </row>
    <row r="4" spans="1:4" x14ac:dyDescent="0.3">
      <c r="A4" t="s">
        <v>34</v>
      </c>
      <c r="B4" t="s">
        <v>5</v>
      </c>
      <c r="C4" t="s">
        <v>22</v>
      </c>
      <c r="D4">
        <v>9.7070000000000007</v>
      </c>
    </row>
    <row r="5" spans="1:4" x14ac:dyDescent="0.3">
      <c r="A5" t="s">
        <v>34</v>
      </c>
      <c r="B5" t="s">
        <v>5</v>
      </c>
      <c r="C5" t="s">
        <v>10</v>
      </c>
      <c r="D5">
        <v>10.138</v>
      </c>
    </row>
    <row r="6" spans="1:4" x14ac:dyDescent="0.3">
      <c r="A6" t="s">
        <v>34</v>
      </c>
      <c r="B6" t="s">
        <v>5</v>
      </c>
      <c r="C6" t="s">
        <v>50</v>
      </c>
      <c r="D6">
        <v>10.417999999999999</v>
      </c>
    </row>
    <row r="7" spans="1:4" x14ac:dyDescent="0.3">
      <c r="A7" t="s">
        <v>34</v>
      </c>
      <c r="B7" t="s">
        <v>5</v>
      </c>
      <c r="C7" t="s">
        <v>44</v>
      </c>
      <c r="D7">
        <v>10.842000000000001</v>
      </c>
    </row>
    <row r="8" spans="1:4" x14ac:dyDescent="0.3">
      <c r="A8" t="s">
        <v>34</v>
      </c>
      <c r="B8" t="s">
        <v>5</v>
      </c>
      <c r="C8" t="s">
        <v>39</v>
      </c>
      <c r="D8">
        <v>8.9909999999999997</v>
      </c>
    </row>
    <row r="9" spans="1:4" x14ac:dyDescent="0.3">
      <c r="A9" t="s">
        <v>34</v>
      </c>
      <c r="B9" t="s">
        <v>5</v>
      </c>
      <c r="C9" t="s">
        <v>69</v>
      </c>
      <c r="D9">
        <v>6.024</v>
      </c>
    </row>
    <row r="10" spans="1:4" x14ac:dyDescent="0.3">
      <c r="A10" t="s">
        <v>34</v>
      </c>
      <c r="B10" t="s">
        <v>5</v>
      </c>
      <c r="C10" t="s">
        <v>62</v>
      </c>
      <c r="D10">
        <v>5.1310000000000002</v>
      </c>
    </row>
    <row r="11" spans="1:4" x14ac:dyDescent="0.3">
      <c r="A11" t="s">
        <v>34</v>
      </c>
      <c r="B11" t="s">
        <v>1</v>
      </c>
      <c r="C11" t="s">
        <v>53</v>
      </c>
      <c r="D11">
        <v>22.514200209999998</v>
      </c>
    </row>
    <row r="12" spans="1:4" x14ac:dyDescent="0.3">
      <c r="A12" t="s">
        <v>34</v>
      </c>
      <c r="B12" t="s">
        <v>1</v>
      </c>
      <c r="C12" t="s">
        <v>29</v>
      </c>
      <c r="D12">
        <v>24.137500760000002</v>
      </c>
    </row>
    <row r="13" spans="1:4" x14ac:dyDescent="0.3">
      <c r="A13" t="s">
        <v>34</v>
      </c>
      <c r="B13" t="s">
        <v>1</v>
      </c>
      <c r="C13" t="s">
        <v>22</v>
      </c>
      <c r="D13">
        <v>25.877899169999999</v>
      </c>
    </row>
    <row r="14" spans="1:4" x14ac:dyDescent="0.3">
      <c r="A14" t="s">
        <v>34</v>
      </c>
      <c r="B14" t="s">
        <v>1</v>
      </c>
      <c r="C14" t="s">
        <v>10</v>
      </c>
      <c r="D14">
        <v>27.743700029999999</v>
      </c>
    </row>
    <row r="15" spans="1:4" x14ac:dyDescent="0.3">
      <c r="A15" t="s">
        <v>34</v>
      </c>
      <c r="B15" t="s">
        <v>1</v>
      </c>
      <c r="C15" t="s">
        <v>50</v>
      </c>
      <c r="D15">
        <v>29.744100570000001</v>
      </c>
    </row>
    <row r="16" spans="1:4" x14ac:dyDescent="0.3">
      <c r="A16" t="s">
        <v>34</v>
      </c>
      <c r="B16" t="s">
        <v>1</v>
      </c>
      <c r="C16" t="s">
        <v>44</v>
      </c>
      <c r="D16">
        <v>31.888799670000001</v>
      </c>
    </row>
    <row r="17" spans="1:4" x14ac:dyDescent="0.3">
      <c r="A17" t="s">
        <v>34</v>
      </c>
      <c r="B17" t="s">
        <v>1</v>
      </c>
      <c r="C17" t="s">
        <v>39</v>
      </c>
      <c r="D17">
        <v>35.509799960000002</v>
      </c>
    </row>
    <row r="18" spans="1:4" x14ac:dyDescent="0.3">
      <c r="A18" t="s">
        <v>34</v>
      </c>
      <c r="B18" t="s">
        <v>1</v>
      </c>
      <c r="C18" t="s">
        <v>69</v>
      </c>
      <c r="D18">
        <v>39.147201539999998</v>
      </c>
    </row>
    <row r="19" spans="1:4" x14ac:dyDescent="0.3">
      <c r="A19" t="s">
        <v>34</v>
      </c>
      <c r="B19" t="s">
        <v>1</v>
      </c>
      <c r="C19" t="s">
        <v>62</v>
      </c>
      <c r="D19">
        <v>40.063999180000003</v>
      </c>
    </row>
    <row r="20" spans="1:4" x14ac:dyDescent="0.3">
      <c r="A20" t="s">
        <v>38</v>
      </c>
      <c r="B20" t="s">
        <v>5</v>
      </c>
      <c r="C20" t="s">
        <v>53</v>
      </c>
      <c r="D20">
        <v>6.75</v>
      </c>
    </row>
    <row r="21" spans="1:4" x14ac:dyDescent="0.3">
      <c r="A21" t="s">
        <v>38</v>
      </c>
      <c r="B21" t="s">
        <v>5</v>
      </c>
      <c r="C21" t="s">
        <v>29</v>
      </c>
      <c r="D21">
        <v>6.819</v>
      </c>
    </row>
    <row r="22" spans="1:4" x14ac:dyDescent="0.3">
      <c r="A22" t="s">
        <v>38</v>
      </c>
      <c r="B22" t="s">
        <v>5</v>
      </c>
      <c r="C22" t="s">
        <v>22</v>
      </c>
      <c r="D22">
        <v>6.8650000000000002</v>
      </c>
    </row>
    <row r="23" spans="1:4" x14ac:dyDescent="0.3">
      <c r="A23" t="s">
        <v>38</v>
      </c>
      <c r="B23" t="s">
        <v>5</v>
      </c>
      <c r="C23" t="s">
        <v>10</v>
      </c>
      <c r="D23">
        <v>6.8529999999999998</v>
      </c>
    </row>
    <row r="24" spans="1:4" x14ac:dyDescent="0.3">
      <c r="A24" t="s">
        <v>38</v>
      </c>
      <c r="B24" t="s">
        <v>5</v>
      </c>
      <c r="C24" t="s">
        <v>50</v>
      </c>
      <c r="D24">
        <v>6.8120000000000003</v>
      </c>
    </row>
    <row r="25" spans="1:4" x14ac:dyDescent="0.3">
      <c r="A25" t="s">
        <v>38</v>
      </c>
      <c r="B25" t="s">
        <v>5</v>
      </c>
      <c r="C25" t="s">
        <v>44</v>
      </c>
      <c r="D25">
        <v>7.8310000000000004</v>
      </c>
    </row>
    <row r="26" spans="1:4" x14ac:dyDescent="0.3">
      <c r="A26" t="s">
        <v>38</v>
      </c>
      <c r="B26" t="s">
        <v>5</v>
      </c>
      <c r="C26" t="s">
        <v>39</v>
      </c>
      <c r="D26">
        <v>7.6319999999999997</v>
      </c>
    </row>
    <row r="27" spans="1:4" x14ac:dyDescent="0.3">
      <c r="A27" t="s">
        <v>38</v>
      </c>
      <c r="B27" t="s">
        <v>5</v>
      </c>
      <c r="C27" t="s">
        <v>69</v>
      </c>
      <c r="D27">
        <v>6.8479999999999999</v>
      </c>
    </row>
    <row r="28" spans="1:4" x14ac:dyDescent="0.3">
      <c r="A28" t="s">
        <v>38</v>
      </c>
      <c r="B28" t="s">
        <v>5</v>
      </c>
      <c r="C28" t="s">
        <v>62</v>
      </c>
      <c r="D28">
        <v>6.8419999999999996</v>
      </c>
    </row>
    <row r="29" spans="1:4" x14ac:dyDescent="0.3">
      <c r="A29" t="s">
        <v>38</v>
      </c>
      <c r="B29" t="s">
        <v>1</v>
      </c>
      <c r="C29" t="s">
        <v>53</v>
      </c>
      <c r="D29">
        <v>6</v>
      </c>
    </row>
    <row r="30" spans="1:4" x14ac:dyDescent="0.3">
      <c r="A30" t="s">
        <v>38</v>
      </c>
      <c r="B30" t="s">
        <v>1</v>
      </c>
      <c r="C30" t="s">
        <v>29</v>
      </c>
      <c r="D30">
        <v>6.3000001909999996</v>
      </c>
    </row>
    <row r="31" spans="1:4" x14ac:dyDescent="0.3">
      <c r="A31" t="s">
        <v>38</v>
      </c>
      <c r="B31" t="s">
        <v>1</v>
      </c>
      <c r="C31" t="s">
        <v>22</v>
      </c>
      <c r="D31">
        <v>7</v>
      </c>
    </row>
    <row r="32" spans="1:4" x14ac:dyDescent="0.3">
      <c r="A32" t="s">
        <v>38</v>
      </c>
      <c r="B32" t="s">
        <v>1</v>
      </c>
      <c r="C32" t="s">
        <v>10</v>
      </c>
      <c r="D32">
        <v>8.7982997889999996</v>
      </c>
    </row>
    <row r="33" spans="1:4" x14ac:dyDescent="0.3">
      <c r="A33" t="s">
        <v>38</v>
      </c>
      <c r="B33" t="s">
        <v>1</v>
      </c>
      <c r="C33" t="s">
        <v>50</v>
      </c>
      <c r="D33">
        <v>11.05860043</v>
      </c>
    </row>
    <row r="34" spans="1:4" x14ac:dyDescent="0.3">
      <c r="A34" t="s">
        <v>38</v>
      </c>
      <c r="B34" t="s">
        <v>1</v>
      </c>
      <c r="C34" t="s">
        <v>44</v>
      </c>
      <c r="D34">
        <v>13.89949989</v>
      </c>
    </row>
    <row r="35" spans="1:4" x14ac:dyDescent="0.3">
      <c r="A35" t="s">
        <v>38</v>
      </c>
      <c r="B35" t="s">
        <v>1</v>
      </c>
      <c r="C35" t="s">
        <v>39</v>
      </c>
      <c r="D35">
        <v>15.303000450000001</v>
      </c>
    </row>
    <row r="36" spans="1:4" x14ac:dyDescent="0.3">
      <c r="A36" t="s">
        <v>38</v>
      </c>
      <c r="B36" t="s">
        <v>1</v>
      </c>
      <c r="C36" t="s">
        <v>69</v>
      </c>
      <c r="D36">
        <v>16.848300930000001</v>
      </c>
    </row>
    <row r="37" spans="1:4" x14ac:dyDescent="0.3">
      <c r="A37" t="s">
        <v>38</v>
      </c>
      <c r="B37" t="s">
        <v>1</v>
      </c>
      <c r="C37" t="s">
        <v>62</v>
      </c>
      <c r="D37">
        <v>17.988103460000001</v>
      </c>
    </row>
    <row r="38" spans="1:4" x14ac:dyDescent="0.3">
      <c r="A38" t="s">
        <v>13</v>
      </c>
      <c r="B38" t="s">
        <v>5</v>
      </c>
      <c r="C38" t="s">
        <v>53</v>
      </c>
      <c r="D38">
        <v>7.0970000000000004</v>
      </c>
    </row>
    <row r="39" spans="1:4" x14ac:dyDescent="0.3">
      <c r="A39" t="s">
        <v>13</v>
      </c>
      <c r="B39" t="s">
        <v>5</v>
      </c>
      <c r="C39" t="s">
        <v>29</v>
      </c>
      <c r="D39">
        <v>7.4009999999999998</v>
      </c>
    </row>
    <row r="40" spans="1:4" x14ac:dyDescent="0.3">
      <c r="A40" t="s">
        <v>13</v>
      </c>
      <c r="B40" t="s">
        <v>5</v>
      </c>
      <c r="C40" t="s">
        <v>22</v>
      </c>
      <c r="D40">
        <v>7.798</v>
      </c>
    </row>
    <row r="41" spans="1:4" x14ac:dyDescent="0.3">
      <c r="A41" t="s">
        <v>13</v>
      </c>
      <c r="B41" t="s">
        <v>5</v>
      </c>
      <c r="C41" t="s">
        <v>10</v>
      </c>
      <c r="D41">
        <v>8.173</v>
      </c>
    </row>
    <row r="42" spans="1:4" x14ac:dyDescent="0.3">
      <c r="A42" t="s">
        <v>13</v>
      </c>
      <c r="B42" t="s">
        <v>5</v>
      </c>
      <c r="C42" t="s">
        <v>50</v>
      </c>
      <c r="D42">
        <v>8.5109999999999992</v>
      </c>
    </row>
    <row r="43" spans="1:4" x14ac:dyDescent="0.3">
      <c r="A43" t="s">
        <v>13</v>
      </c>
      <c r="B43" t="s">
        <v>5</v>
      </c>
      <c r="C43" t="s">
        <v>44</v>
      </c>
      <c r="D43">
        <v>9.7070000000000007</v>
      </c>
    </row>
    <row r="44" spans="1:4" x14ac:dyDescent="0.3">
      <c r="A44" t="s">
        <v>13</v>
      </c>
      <c r="B44" t="s">
        <v>5</v>
      </c>
      <c r="C44" t="s">
        <v>39</v>
      </c>
      <c r="D44">
        <v>9.8360000000000003</v>
      </c>
    </row>
    <row r="45" spans="1:4" x14ac:dyDescent="0.3">
      <c r="A45" t="s">
        <v>13</v>
      </c>
      <c r="B45" t="s">
        <v>5</v>
      </c>
      <c r="C45" t="s">
        <v>69</v>
      </c>
      <c r="D45">
        <v>11.619</v>
      </c>
    </row>
    <row r="46" spans="1:4" x14ac:dyDescent="0.3">
      <c r="A46" t="s">
        <v>13</v>
      </c>
      <c r="B46" t="s">
        <v>5</v>
      </c>
      <c r="C46" t="s">
        <v>62</v>
      </c>
      <c r="D46">
        <v>11.471</v>
      </c>
    </row>
    <row r="47" spans="1:4" x14ac:dyDescent="0.3">
      <c r="A47" t="s">
        <v>13</v>
      </c>
      <c r="B47" t="s">
        <v>1</v>
      </c>
      <c r="C47" t="s">
        <v>53</v>
      </c>
      <c r="D47">
        <v>6.5</v>
      </c>
    </row>
    <row r="48" spans="1:4" x14ac:dyDescent="0.3">
      <c r="A48" t="s">
        <v>13</v>
      </c>
      <c r="B48" t="s">
        <v>1</v>
      </c>
      <c r="C48" t="s">
        <v>29</v>
      </c>
      <c r="D48">
        <v>7</v>
      </c>
    </row>
    <row r="49" spans="1:4" x14ac:dyDescent="0.3">
      <c r="A49" t="s">
        <v>13</v>
      </c>
      <c r="B49" t="s">
        <v>1</v>
      </c>
      <c r="C49" t="s">
        <v>22</v>
      </c>
      <c r="D49">
        <v>7.7963266079129001</v>
      </c>
    </row>
    <row r="50" spans="1:4" x14ac:dyDescent="0.3">
      <c r="A50" t="s">
        <v>13</v>
      </c>
      <c r="B50" t="s">
        <v>1</v>
      </c>
      <c r="C50" t="s">
        <v>10</v>
      </c>
      <c r="D50">
        <v>10.899999619999999</v>
      </c>
    </row>
    <row r="51" spans="1:4" x14ac:dyDescent="0.3">
      <c r="A51" t="s">
        <v>13</v>
      </c>
      <c r="B51" t="s">
        <v>1</v>
      </c>
      <c r="C51" t="s">
        <v>50</v>
      </c>
      <c r="D51">
        <v>12.47929955</v>
      </c>
    </row>
    <row r="52" spans="1:4" x14ac:dyDescent="0.3">
      <c r="A52" t="s">
        <v>13</v>
      </c>
      <c r="B52" t="s">
        <v>1</v>
      </c>
      <c r="C52" t="s">
        <v>44</v>
      </c>
      <c r="D52">
        <v>14.287400249999999</v>
      </c>
    </row>
    <row r="53" spans="1:4" x14ac:dyDescent="0.3">
      <c r="A53" t="s">
        <v>13</v>
      </c>
      <c r="B53" t="s">
        <v>1</v>
      </c>
      <c r="C53" t="s">
        <v>39</v>
      </c>
      <c r="D53">
        <v>16.357599260000001</v>
      </c>
    </row>
    <row r="54" spans="1:4" x14ac:dyDescent="0.3">
      <c r="A54" t="s">
        <v>13</v>
      </c>
      <c r="B54" t="s">
        <v>1</v>
      </c>
      <c r="C54" t="s">
        <v>69</v>
      </c>
      <c r="D54">
        <v>18.962200159999998</v>
      </c>
    </row>
    <row r="55" spans="1:4" x14ac:dyDescent="0.3">
      <c r="A55" t="s">
        <v>13</v>
      </c>
      <c r="B55" t="s">
        <v>1</v>
      </c>
      <c r="C55" t="s">
        <v>62</v>
      </c>
      <c r="D55">
        <v>19.945600509999998</v>
      </c>
    </row>
    <row r="56" spans="1:4" x14ac:dyDescent="0.3">
      <c r="A56" t="s">
        <v>20</v>
      </c>
      <c r="B56" t="s">
        <v>5</v>
      </c>
      <c r="C56" t="s">
        <v>53</v>
      </c>
      <c r="D56">
        <v>7.2990000000000004</v>
      </c>
    </row>
    <row r="57" spans="1:4" x14ac:dyDescent="0.3">
      <c r="A57" t="s">
        <v>20</v>
      </c>
      <c r="B57" t="s">
        <v>5</v>
      </c>
      <c r="C57" t="s">
        <v>29</v>
      </c>
      <c r="D57">
        <v>7.3330000000000002</v>
      </c>
    </row>
    <row r="58" spans="1:4" x14ac:dyDescent="0.3">
      <c r="A58" t="s">
        <v>20</v>
      </c>
      <c r="B58" t="s">
        <v>5</v>
      </c>
      <c r="C58" t="s">
        <v>22</v>
      </c>
      <c r="D58">
        <v>9.0969999999999995</v>
      </c>
    </row>
    <row r="59" spans="1:4" x14ac:dyDescent="0.3">
      <c r="A59" t="s">
        <v>20</v>
      </c>
      <c r="B59" t="s">
        <v>5</v>
      </c>
      <c r="C59" t="s">
        <v>10</v>
      </c>
      <c r="D59">
        <v>10.818</v>
      </c>
    </row>
    <row r="60" spans="1:4" x14ac:dyDescent="0.3">
      <c r="A60" t="s">
        <v>20</v>
      </c>
      <c r="B60" t="s">
        <v>5</v>
      </c>
      <c r="C60" t="s">
        <v>50</v>
      </c>
      <c r="D60">
        <v>12.547000000000001</v>
      </c>
    </row>
    <row r="61" spans="1:4" x14ac:dyDescent="0.3">
      <c r="A61" t="s">
        <v>20</v>
      </c>
      <c r="B61" t="s">
        <v>5</v>
      </c>
      <c r="C61" t="s">
        <v>44</v>
      </c>
      <c r="D61">
        <v>13.619</v>
      </c>
    </row>
    <row r="62" spans="1:4" x14ac:dyDescent="0.3">
      <c r="A62" t="s">
        <v>20</v>
      </c>
      <c r="B62" t="s">
        <v>5</v>
      </c>
      <c r="C62" t="s">
        <v>39</v>
      </c>
      <c r="D62">
        <v>12.231999999999999</v>
      </c>
    </row>
    <row r="63" spans="1:4" x14ac:dyDescent="0.3">
      <c r="A63" t="s">
        <v>20</v>
      </c>
      <c r="B63" t="s">
        <v>5</v>
      </c>
      <c r="C63" t="s">
        <v>69</v>
      </c>
      <c r="D63">
        <v>15.488</v>
      </c>
    </row>
    <row r="64" spans="1:4" x14ac:dyDescent="0.3">
      <c r="A64" t="s">
        <v>20</v>
      </c>
      <c r="B64" t="s">
        <v>5</v>
      </c>
      <c r="C64" t="s">
        <v>62</v>
      </c>
      <c r="D64">
        <v>15.164</v>
      </c>
    </row>
    <row r="65" spans="1:4" x14ac:dyDescent="0.3">
      <c r="A65" t="s">
        <v>20</v>
      </c>
      <c r="B65" t="s">
        <v>1</v>
      </c>
      <c r="C65" t="s">
        <v>53</v>
      </c>
      <c r="D65">
        <v>16.5878548475992</v>
      </c>
    </row>
    <row r="66" spans="1:4" x14ac:dyDescent="0.3">
      <c r="A66" t="s">
        <v>20</v>
      </c>
      <c r="B66" t="s">
        <v>1</v>
      </c>
      <c r="C66" t="s">
        <v>29</v>
      </c>
      <c r="D66">
        <v>16.600000000000001</v>
      </c>
    </row>
    <row r="67" spans="1:4" x14ac:dyDescent="0.3">
      <c r="A67" t="s">
        <v>20</v>
      </c>
      <c r="B67" t="s">
        <v>1</v>
      </c>
      <c r="C67" t="s">
        <v>22</v>
      </c>
      <c r="D67">
        <v>17.82710075</v>
      </c>
    </row>
    <row r="68" spans="1:4" x14ac:dyDescent="0.3">
      <c r="A68" t="s">
        <v>20</v>
      </c>
      <c r="B68" t="s">
        <v>1</v>
      </c>
      <c r="C68" t="s">
        <v>10</v>
      </c>
      <c r="D68">
        <v>19.5</v>
      </c>
    </row>
    <row r="69" spans="1:4" x14ac:dyDescent="0.3">
      <c r="A69" t="s">
        <v>20</v>
      </c>
      <c r="B69" t="s">
        <v>1</v>
      </c>
      <c r="C69" t="s">
        <v>50</v>
      </c>
      <c r="D69">
        <v>22.668773361817099</v>
      </c>
    </row>
    <row r="70" spans="1:4" x14ac:dyDescent="0.3">
      <c r="A70" t="s">
        <v>20</v>
      </c>
      <c r="B70" t="s">
        <v>1</v>
      </c>
      <c r="C70" t="s">
        <v>44</v>
      </c>
      <c r="D70">
        <v>24.722799299999998</v>
      </c>
    </row>
    <row r="71" spans="1:4" x14ac:dyDescent="0.3">
      <c r="A71" t="s">
        <v>20</v>
      </c>
      <c r="B71" t="s">
        <v>1</v>
      </c>
      <c r="C71" t="s">
        <v>39</v>
      </c>
      <c r="D71">
        <v>26.96290016</v>
      </c>
    </row>
    <row r="72" spans="1:4" x14ac:dyDescent="0.3">
      <c r="A72" t="s">
        <v>20</v>
      </c>
      <c r="B72" t="s">
        <v>1</v>
      </c>
      <c r="C72" t="s">
        <v>69</v>
      </c>
      <c r="D72">
        <v>29.405899049999999</v>
      </c>
    </row>
    <row r="73" spans="1:4" x14ac:dyDescent="0.3">
      <c r="A73" t="s">
        <v>20</v>
      </c>
      <c r="B73" t="s">
        <v>1</v>
      </c>
      <c r="C73" t="s">
        <v>62</v>
      </c>
      <c r="D73">
        <v>32.070400239999998</v>
      </c>
    </row>
    <row r="74" spans="1:4" x14ac:dyDescent="0.3">
      <c r="A74" t="s">
        <v>16</v>
      </c>
      <c r="B74" t="s">
        <v>5</v>
      </c>
      <c r="C74" t="s">
        <v>53</v>
      </c>
      <c r="D74">
        <v>16.599</v>
      </c>
    </row>
    <row r="75" spans="1:4" x14ac:dyDescent="0.3">
      <c r="A75" t="s">
        <v>16</v>
      </c>
      <c r="B75" t="s">
        <v>5</v>
      </c>
      <c r="C75" t="s">
        <v>29</v>
      </c>
      <c r="D75">
        <v>16.594999999999999</v>
      </c>
    </row>
    <row r="76" spans="1:4" x14ac:dyDescent="0.3">
      <c r="A76" t="s">
        <v>16</v>
      </c>
      <c r="B76" t="s">
        <v>5</v>
      </c>
      <c r="C76" t="s">
        <v>22</v>
      </c>
      <c r="D76">
        <v>16.731999999999999</v>
      </c>
    </row>
    <row r="77" spans="1:4" x14ac:dyDescent="0.3">
      <c r="A77" t="s">
        <v>16</v>
      </c>
      <c r="B77" t="s">
        <v>5</v>
      </c>
      <c r="C77" t="s">
        <v>10</v>
      </c>
      <c r="D77">
        <v>16.263999999999999</v>
      </c>
    </row>
    <row r="78" spans="1:4" x14ac:dyDescent="0.3">
      <c r="A78" t="s">
        <v>16</v>
      </c>
      <c r="B78" t="s">
        <v>5</v>
      </c>
      <c r="C78" t="s">
        <v>50</v>
      </c>
      <c r="D78">
        <v>16.052</v>
      </c>
    </row>
    <row r="79" spans="1:4" x14ac:dyDescent="0.3">
      <c r="A79" t="s">
        <v>16</v>
      </c>
      <c r="B79" t="s">
        <v>5</v>
      </c>
      <c r="C79" t="s">
        <v>44</v>
      </c>
      <c r="D79">
        <v>15.946999999999999</v>
      </c>
    </row>
    <row r="80" spans="1:4" x14ac:dyDescent="0.3">
      <c r="A80" t="s">
        <v>16</v>
      </c>
      <c r="B80" t="s">
        <v>5</v>
      </c>
      <c r="C80" t="s">
        <v>39</v>
      </c>
      <c r="D80">
        <v>23.312000000000001</v>
      </c>
    </row>
    <row r="81" spans="1:4" x14ac:dyDescent="0.3">
      <c r="A81" t="s">
        <v>16</v>
      </c>
      <c r="B81" t="s">
        <v>5</v>
      </c>
      <c r="C81" t="s">
        <v>69</v>
      </c>
      <c r="D81">
        <v>22.202999999999999</v>
      </c>
    </row>
    <row r="82" spans="1:4" x14ac:dyDescent="0.3">
      <c r="A82" t="s">
        <v>16</v>
      </c>
      <c r="B82" t="s">
        <v>5</v>
      </c>
      <c r="C82" t="s">
        <v>62</v>
      </c>
      <c r="D82">
        <v>18.172000000000001</v>
      </c>
    </row>
    <row r="83" spans="1:4" x14ac:dyDescent="0.3">
      <c r="A83" t="s">
        <v>16</v>
      </c>
      <c r="B83" t="s">
        <v>1</v>
      </c>
      <c r="C83" t="s">
        <v>53</v>
      </c>
      <c r="D83">
        <v>12.45600033</v>
      </c>
    </row>
    <row r="84" spans="1:4" x14ac:dyDescent="0.3">
      <c r="A84" t="s">
        <v>16</v>
      </c>
      <c r="B84" t="s">
        <v>1</v>
      </c>
      <c r="C84" t="s">
        <v>29</v>
      </c>
      <c r="D84">
        <v>14.637100220000001</v>
      </c>
    </row>
    <row r="85" spans="1:4" x14ac:dyDescent="0.3">
      <c r="A85" t="s">
        <v>16</v>
      </c>
      <c r="B85" t="s">
        <v>1</v>
      </c>
      <c r="C85" t="s">
        <v>22</v>
      </c>
      <c r="D85">
        <v>17.2</v>
      </c>
    </row>
    <row r="86" spans="1:4" x14ac:dyDescent="0.3">
      <c r="A86" t="s">
        <v>16</v>
      </c>
      <c r="B86" t="s">
        <v>1</v>
      </c>
      <c r="C86" t="s">
        <v>10</v>
      </c>
      <c r="D86">
        <v>19.166599269999999</v>
      </c>
    </row>
    <row r="87" spans="1:4" x14ac:dyDescent="0.3">
      <c r="A87" t="s">
        <v>16</v>
      </c>
      <c r="B87" t="s">
        <v>1</v>
      </c>
      <c r="C87" t="s">
        <v>50</v>
      </c>
      <c r="D87">
        <v>21.357999800000002</v>
      </c>
    </row>
    <row r="88" spans="1:4" x14ac:dyDescent="0.3">
      <c r="A88" t="s">
        <v>16</v>
      </c>
      <c r="B88" t="s">
        <v>1</v>
      </c>
      <c r="C88" t="s">
        <v>44</v>
      </c>
      <c r="D88">
        <v>23.8</v>
      </c>
    </row>
    <row r="89" spans="1:4" x14ac:dyDescent="0.3">
      <c r="A89" t="s">
        <v>16</v>
      </c>
      <c r="B89" t="s">
        <v>1</v>
      </c>
      <c r="C89" t="s">
        <v>39</v>
      </c>
      <c r="D89">
        <v>24.4416008</v>
      </c>
    </row>
    <row r="90" spans="1:4" x14ac:dyDescent="0.3">
      <c r="A90" t="s">
        <v>16</v>
      </c>
      <c r="B90" t="s">
        <v>1</v>
      </c>
      <c r="C90" t="s">
        <v>69</v>
      </c>
      <c r="D90">
        <v>28.016799930000001</v>
      </c>
    </row>
    <row r="91" spans="1:4" x14ac:dyDescent="0.3">
      <c r="A91" t="s">
        <v>16</v>
      </c>
      <c r="B91" t="s">
        <v>1</v>
      </c>
      <c r="C91" t="s">
        <v>62</v>
      </c>
      <c r="D91">
        <v>28.805799480000001</v>
      </c>
    </row>
    <row r="92" spans="1:4" x14ac:dyDescent="0.3">
      <c r="A92" t="s">
        <v>32</v>
      </c>
      <c r="B92" t="s">
        <v>5</v>
      </c>
      <c r="C92" t="s">
        <v>53</v>
      </c>
      <c r="D92">
        <v>14.238</v>
      </c>
    </row>
    <row r="93" spans="1:4" x14ac:dyDescent="0.3">
      <c r="A93" t="s">
        <v>32</v>
      </c>
      <c r="B93" t="s">
        <v>5</v>
      </c>
      <c r="C93" t="s">
        <v>29</v>
      </c>
      <c r="D93">
        <v>10.616</v>
      </c>
    </row>
    <row r="94" spans="1:4" x14ac:dyDescent="0.3">
      <c r="A94" t="s">
        <v>32</v>
      </c>
      <c r="B94" t="s">
        <v>5</v>
      </c>
      <c r="C94" t="s">
        <v>22</v>
      </c>
      <c r="D94">
        <v>6.375</v>
      </c>
    </row>
    <row r="95" spans="1:4" x14ac:dyDescent="0.3">
      <c r="A95" t="s">
        <v>32</v>
      </c>
      <c r="B95" t="s">
        <v>5</v>
      </c>
      <c r="C95" t="s">
        <v>10</v>
      </c>
      <c r="D95">
        <v>6.1070000000000002</v>
      </c>
    </row>
    <row r="96" spans="1:4" x14ac:dyDescent="0.3">
      <c r="A96" t="s">
        <v>32</v>
      </c>
      <c r="B96" t="s">
        <v>5</v>
      </c>
      <c r="C96" t="s">
        <v>50</v>
      </c>
      <c r="D96">
        <v>5.875</v>
      </c>
    </row>
    <row r="97" spans="1:4" x14ac:dyDescent="0.3">
      <c r="A97" t="s">
        <v>32</v>
      </c>
      <c r="B97" t="s">
        <v>5</v>
      </c>
      <c r="C97" t="s">
        <v>44</v>
      </c>
      <c r="D97">
        <v>6.319</v>
      </c>
    </row>
    <row r="98" spans="1:4" x14ac:dyDescent="0.3">
      <c r="A98" t="s">
        <v>32</v>
      </c>
      <c r="B98" t="s">
        <v>5</v>
      </c>
      <c r="C98" t="s">
        <v>39</v>
      </c>
      <c r="D98">
        <v>5.9850000000000003</v>
      </c>
    </row>
    <row r="99" spans="1:4" x14ac:dyDescent="0.3">
      <c r="A99" t="s">
        <v>32</v>
      </c>
      <c r="B99" t="s">
        <v>5</v>
      </c>
      <c r="C99" t="s">
        <v>69</v>
      </c>
      <c r="D99">
        <v>5.4020000000000001</v>
      </c>
    </row>
    <row r="100" spans="1:4" x14ac:dyDescent="0.3">
      <c r="A100" t="s">
        <v>32</v>
      </c>
      <c r="B100" t="s">
        <v>5</v>
      </c>
      <c r="C100" t="s">
        <v>62</v>
      </c>
      <c r="D100">
        <v>5.3520000000000003</v>
      </c>
    </row>
    <row r="101" spans="1:4" x14ac:dyDescent="0.3">
      <c r="A101" t="s">
        <v>32</v>
      </c>
      <c r="B101" t="s">
        <v>1</v>
      </c>
      <c r="C101" t="s">
        <v>53</v>
      </c>
      <c r="D101">
        <v>23</v>
      </c>
    </row>
    <row r="102" spans="1:4" x14ac:dyDescent="0.3">
      <c r="A102" t="s">
        <v>32</v>
      </c>
      <c r="B102" t="s">
        <v>1</v>
      </c>
      <c r="C102" t="s">
        <v>29</v>
      </c>
      <c r="D102">
        <v>28</v>
      </c>
    </row>
    <row r="103" spans="1:4" x14ac:dyDescent="0.3">
      <c r="A103" t="s">
        <v>32</v>
      </c>
      <c r="B103" t="s">
        <v>1</v>
      </c>
      <c r="C103" t="s">
        <v>22</v>
      </c>
      <c r="D103">
        <v>37.884201050000001</v>
      </c>
    </row>
    <row r="104" spans="1:4" x14ac:dyDescent="0.3">
      <c r="A104" t="s">
        <v>32</v>
      </c>
      <c r="B104" t="s">
        <v>1</v>
      </c>
      <c r="C104" t="s">
        <v>10</v>
      </c>
      <c r="D104">
        <v>43</v>
      </c>
    </row>
    <row r="105" spans="1:4" x14ac:dyDescent="0.3">
      <c r="A105" t="s">
        <v>32</v>
      </c>
      <c r="B105" t="s">
        <v>1</v>
      </c>
      <c r="C105" t="s">
        <v>50</v>
      </c>
      <c r="D105">
        <v>22.0732</v>
      </c>
    </row>
    <row r="106" spans="1:4" x14ac:dyDescent="0.3">
      <c r="A106" t="s">
        <v>32</v>
      </c>
      <c r="B106" t="s">
        <v>1</v>
      </c>
      <c r="C106" t="s">
        <v>44</v>
      </c>
      <c r="D106">
        <v>62.51760101</v>
      </c>
    </row>
    <row r="107" spans="1:4" x14ac:dyDescent="0.3">
      <c r="A107" t="s">
        <v>32</v>
      </c>
      <c r="B107" t="s">
        <v>1</v>
      </c>
      <c r="C107" t="s">
        <v>39</v>
      </c>
      <c r="D107">
        <v>68.599999999999994</v>
      </c>
    </row>
    <row r="108" spans="1:4" x14ac:dyDescent="0.3">
      <c r="A108" t="s">
        <v>32</v>
      </c>
      <c r="B108" t="s">
        <v>1</v>
      </c>
      <c r="C108" t="s">
        <v>69</v>
      </c>
      <c r="D108">
        <v>69.913299559999999</v>
      </c>
    </row>
    <row r="109" spans="1:4" x14ac:dyDescent="0.3">
      <c r="A109" t="s">
        <v>32</v>
      </c>
      <c r="B109" t="s">
        <v>1</v>
      </c>
      <c r="C109" t="s">
        <v>62</v>
      </c>
      <c r="D109">
        <v>70.674301150000005</v>
      </c>
    </row>
    <row r="110" spans="1:4" x14ac:dyDescent="0.3">
      <c r="A110" t="s">
        <v>63</v>
      </c>
      <c r="B110" t="s">
        <v>5</v>
      </c>
      <c r="C110" t="s">
        <v>53</v>
      </c>
      <c r="D110">
        <v>34.159999999999997</v>
      </c>
    </row>
    <row r="111" spans="1:4" x14ac:dyDescent="0.3">
      <c r="A111" t="s">
        <v>63</v>
      </c>
      <c r="B111" t="s">
        <v>5</v>
      </c>
      <c r="C111" t="s">
        <v>29</v>
      </c>
      <c r="D111">
        <v>33.655000000000001</v>
      </c>
    </row>
    <row r="112" spans="1:4" x14ac:dyDescent="0.3">
      <c r="A112" t="s">
        <v>63</v>
      </c>
      <c r="B112" t="s">
        <v>5</v>
      </c>
      <c r="C112" t="s">
        <v>22</v>
      </c>
      <c r="D112">
        <v>32.643999999999998</v>
      </c>
    </row>
    <row r="113" spans="1:4" x14ac:dyDescent="0.3">
      <c r="A113" t="s">
        <v>63</v>
      </c>
      <c r="B113" t="s">
        <v>5</v>
      </c>
      <c r="C113" t="s">
        <v>10</v>
      </c>
      <c r="D113">
        <v>26.251999999999999</v>
      </c>
    </row>
    <row r="114" spans="1:4" x14ac:dyDescent="0.3">
      <c r="A114" t="s">
        <v>63</v>
      </c>
      <c r="B114" t="s">
        <v>5</v>
      </c>
      <c r="C114" t="s">
        <v>50</v>
      </c>
      <c r="D114">
        <v>20.631</v>
      </c>
    </row>
    <row r="115" spans="1:4" x14ac:dyDescent="0.3">
      <c r="A115" t="s">
        <v>63</v>
      </c>
      <c r="B115" t="s">
        <v>5</v>
      </c>
      <c r="C115" t="s">
        <v>44</v>
      </c>
      <c r="D115">
        <v>18.463000000000001</v>
      </c>
    </row>
    <row r="116" spans="1:4" x14ac:dyDescent="0.3">
      <c r="A116" t="s">
        <v>63</v>
      </c>
      <c r="B116" t="s">
        <v>5</v>
      </c>
      <c r="C116" t="s">
        <v>39</v>
      </c>
      <c r="D116">
        <v>18.21</v>
      </c>
    </row>
    <row r="117" spans="1:4" x14ac:dyDescent="0.3">
      <c r="A117" t="s">
        <v>63</v>
      </c>
      <c r="B117" t="s">
        <v>5</v>
      </c>
      <c r="C117" t="s">
        <v>69</v>
      </c>
      <c r="D117">
        <v>16.341999999999999</v>
      </c>
    </row>
    <row r="118" spans="1:4" x14ac:dyDescent="0.3">
      <c r="A118" t="s">
        <v>63</v>
      </c>
      <c r="B118" t="s">
        <v>5</v>
      </c>
      <c r="C118" t="s">
        <v>62</v>
      </c>
      <c r="D118">
        <v>17.152999999999999</v>
      </c>
    </row>
    <row r="119" spans="1:4" x14ac:dyDescent="0.3">
      <c r="A119" t="s">
        <v>63</v>
      </c>
      <c r="B119" t="s">
        <v>1</v>
      </c>
      <c r="C119" t="s">
        <v>53</v>
      </c>
      <c r="D119">
        <v>37.8193834276939</v>
      </c>
    </row>
    <row r="120" spans="1:4" x14ac:dyDescent="0.3">
      <c r="A120" t="s">
        <v>63</v>
      </c>
      <c r="B120" t="s">
        <v>1</v>
      </c>
      <c r="C120" t="s">
        <v>29</v>
      </c>
      <c r="D120">
        <v>41.248067088577201</v>
      </c>
    </row>
    <row r="121" spans="1:4" x14ac:dyDescent="0.3">
      <c r="A121" t="s">
        <v>63</v>
      </c>
      <c r="B121" t="s">
        <v>1</v>
      </c>
      <c r="C121" t="s">
        <v>22</v>
      </c>
      <c r="D121">
        <v>44.950204245285697</v>
      </c>
    </row>
    <row r="122" spans="1:4" x14ac:dyDescent="0.3">
      <c r="A122" t="s">
        <v>63</v>
      </c>
      <c r="B122" t="s">
        <v>1</v>
      </c>
      <c r="C122" t="s">
        <v>10</v>
      </c>
      <c r="D122">
        <v>46.924336767920003</v>
      </c>
    </row>
    <row r="123" spans="1:4" x14ac:dyDescent="0.3">
      <c r="A123" t="s">
        <v>63</v>
      </c>
      <c r="B123" t="s">
        <v>1</v>
      </c>
      <c r="C123" t="s">
        <v>50</v>
      </c>
      <c r="D123">
        <v>57.282866399019497</v>
      </c>
    </row>
    <row r="124" spans="1:4" x14ac:dyDescent="0.3">
      <c r="A124" t="s">
        <v>63</v>
      </c>
      <c r="B124" t="s">
        <v>1</v>
      </c>
      <c r="C124" t="s">
        <v>44</v>
      </c>
      <c r="D124">
        <v>71.914200960000002</v>
      </c>
    </row>
    <row r="125" spans="1:4" x14ac:dyDescent="0.3">
      <c r="A125" t="s">
        <v>63</v>
      </c>
      <c r="B125" t="s">
        <v>1</v>
      </c>
      <c r="C125" t="s">
        <v>39</v>
      </c>
      <c r="D125">
        <v>72.055999760000006</v>
      </c>
    </row>
    <row r="126" spans="1:4" x14ac:dyDescent="0.3">
      <c r="A126" t="s">
        <v>63</v>
      </c>
      <c r="B126" t="s">
        <v>1</v>
      </c>
      <c r="C126" t="s">
        <v>69</v>
      </c>
      <c r="D126">
        <v>72.198065560000003</v>
      </c>
    </row>
    <row r="127" spans="1:4" x14ac:dyDescent="0.3">
      <c r="A127" t="s">
        <v>63</v>
      </c>
      <c r="B127" t="s">
        <v>1</v>
      </c>
      <c r="C127" t="s">
        <v>62</v>
      </c>
      <c r="D127">
        <v>74.011901859999995</v>
      </c>
    </row>
    <row r="128" spans="1:4" x14ac:dyDescent="0.3">
      <c r="A128" t="s">
        <v>48</v>
      </c>
      <c r="B128" t="s">
        <v>5</v>
      </c>
      <c r="C128" t="s">
        <v>53</v>
      </c>
      <c r="D128">
        <v>3.4430000000000001</v>
      </c>
    </row>
    <row r="129" spans="1:4" x14ac:dyDescent="0.3">
      <c r="A129" t="s">
        <v>48</v>
      </c>
      <c r="B129" t="s">
        <v>5</v>
      </c>
      <c r="C129" t="s">
        <v>29</v>
      </c>
      <c r="D129">
        <v>3.2410000000000001</v>
      </c>
    </row>
    <row r="130" spans="1:4" x14ac:dyDescent="0.3">
      <c r="A130" t="s">
        <v>48</v>
      </c>
      <c r="B130" t="s">
        <v>5</v>
      </c>
      <c r="C130" t="s">
        <v>22</v>
      </c>
      <c r="D130">
        <v>3.0369999999999999</v>
      </c>
    </row>
    <row r="131" spans="1:4" x14ac:dyDescent="0.3">
      <c r="A131" t="s">
        <v>48</v>
      </c>
      <c r="B131" t="s">
        <v>5</v>
      </c>
      <c r="C131" t="s">
        <v>10</v>
      </c>
      <c r="D131">
        <v>2.8460000000000001</v>
      </c>
    </row>
    <row r="132" spans="1:4" x14ac:dyDescent="0.3">
      <c r="A132" t="s">
        <v>48</v>
      </c>
      <c r="B132" t="s">
        <v>5</v>
      </c>
      <c r="C132" t="s">
        <v>50</v>
      </c>
      <c r="D132">
        <v>2.657</v>
      </c>
    </row>
    <row r="133" spans="1:4" x14ac:dyDescent="0.3">
      <c r="A133" t="s">
        <v>48</v>
      </c>
      <c r="B133" t="s">
        <v>5</v>
      </c>
      <c r="C133" t="s">
        <v>44</v>
      </c>
      <c r="D133">
        <v>2.746</v>
      </c>
    </row>
    <row r="134" spans="1:4" x14ac:dyDescent="0.3">
      <c r="A134" t="s">
        <v>48</v>
      </c>
      <c r="B134" t="s">
        <v>5</v>
      </c>
      <c r="C134" t="s">
        <v>39</v>
      </c>
      <c r="D134">
        <v>2.7519999999999998</v>
      </c>
    </row>
    <row r="135" spans="1:4" x14ac:dyDescent="0.3">
      <c r="A135" t="s">
        <v>48</v>
      </c>
      <c r="B135" t="s">
        <v>5</v>
      </c>
      <c r="C135" t="s">
        <v>69</v>
      </c>
      <c r="D135">
        <v>2.3439999999999999</v>
      </c>
    </row>
    <row r="136" spans="1:4" x14ac:dyDescent="0.3">
      <c r="A136" t="s">
        <v>48</v>
      </c>
      <c r="B136" t="s">
        <v>5</v>
      </c>
      <c r="C136" t="s">
        <v>62</v>
      </c>
      <c r="D136">
        <v>2.339</v>
      </c>
    </row>
    <row r="137" spans="1:4" x14ac:dyDescent="0.3">
      <c r="A137" t="s">
        <v>48</v>
      </c>
      <c r="B137" t="s">
        <v>1</v>
      </c>
      <c r="C137" t="s">
        <v>53</v>
      </c>
      <c r="D137">
        <v>10</v>
      </c>
    </row>
    <row r="138" spans="1:4" x14ac:dyDescent="0.3">
      <c r="A138" t="s">
        <v>48</v>
      </c>
      <c r="B138" t="s">
        <v>1</v>
      </c>
      <c r="C138" t="s">
        <v>29</v>
      </c>
      <c r="D138">
        <v>13.504232846891901</v>
      </c>
    </row>
    <row r="139" spans="1:4" x14ac:dyDescent="0.3">
      <c r="A139" t="s">
        <v>48</v>
      </c>
      <c r="B139" t="s">
        <v>1</v>
      </c>
      <c r="C139" t="s">
        <v>22</v>
      </c>
      <c r="D139">
        <v>14.46339989</v>
      </c>
    </row>
    <row r="140" spans="1:4" x14ac:dyDescent="0.3">
      <c r="A140" t="s">
        <v>48</v>
      </c>
      <c r="B140" t="s">
        <v>1</v>
      </c>
      <c r="C140" t="s">
        <v>10</v>
      </c>
      <c r="D140">
        <v>15.490699770000001</v>
      </c>
    </row>
    <row r="141" spans="1:4" x14ac:dyDescent="0.3">
      <c r="A141" t="s">
        <v>48</v>
      </c>
      <c r="B141" t="s">
        <v>1</v>
      </c>
      <c r="C141" t="s">
        <v>50</v>
      </c>
      <c r="D141">
        <v>16.590900420000001</v>
      </c>
    </row>
    <row r="142" spans="1:4" x14ac:dyDescent="0.3">
      <c r="A142" t="s">
        <v>48</v>
      </c>
      <c r="B142" t="s">
        <v>1</v>
      </c>
      <c r="C142" t="s">
        <v>44</v>
      </c>
      <c r="D142">
        <v>19.481399540000002</v>
      </c>
    </row>
    <row r="143" spans="1:4" x14ac:dyDescent="0.3">
      <c r="A143" t="s">
        <v>48</v>
      </c>
      <c r="B143" t="s">
        <v>1</v>
      </c>
      <c r="C143" t="s">
        <v>39</v>
      </c>
      <c r="D143">
        <v>22.875400540000001</v>
      </c>
    </row>
    <row r="144" spans="1:4" x14ac:dyDescent="0.3">
      <c r="A144" t="s">
        <v>48</v>
      </c>
      <c r="B144" t="s">
        <v>1</v>
      </c>
      <c r="C144" t="s">
        <v>69</v>
      </c>
      <c r="D144">
        <v>26.860599520000001</v>
      </c>
    </row>
    <row r="145" spans="1:4" x14ac:dyDescent="0.3">
      <c r="A145" t="s">
        <v>48</v>
      </c>
      <c r="B145" t="s">
        <v>1</v>
      </c>
      <c r="C145" t="s">
        <v>62</v>
      </c>
      <c r="D145">
        <v>28.43190002</v>
      </c>
    </row>
    <row r="146" spans="1:4" x14ac:dyDescent="0.3">
      <c r="A146" t="s">
        <v>6</v>
      </c>
      <c r="B146" t="s">
        <v>5</v>
      </c>
      <c r="C146" t="s">
        <v>53</v>
      </c>
      <c r="D146">
        <v>3.8130000000000002</v>
      </c>
    </row>
    <row r="147" spans="1:4" x14ac:dyDescent="0.3">
      <c r="A147" t="s">
        <v>6</v>
      </c>
      <c r="B147" t="s">
        <v>5</v>
      </c>
      <c r="C147" t="s">
        <v>29</v>
      </c>
      <c r="D147">
        <v>4.0309999999999997</v>
      </c>
    </row>
    <row r="148" spans="1:4" x14ac:dyDescent="0.3">
      <c r="A148" t="s">
        <v>6</v>
      </c>
      <c r="B148" t="s">
        <v>5</v>
      </c>
      <c r="C148" t="s">
        <v>22</v>
      </c>
      <c r="D148">
        <v>4.25</v>
      </c>
    </row>
    <row r="149" spans="1:4" x14ac:dyDescent="0.3">
      <c r="A149" t="s">
        <v>6</v>
      </c>
      <c r="B149" t="s">
        <v>5</v>
      </c>
      <c r="C149" t="s">
        <v>10</v>
      </c>
      <c r="D149">
        <v>4.5149999999999997</v>
      </c>
    </row>
    <row r="150" spans="1:4" x14ac:dyDescent="0.3">
      <c r="A150" t="s">
        <v>6</v>
      </c>
      <c r="B150" t="s">
        <v>5</v>
      </c>
      <c r="C150" t="s">
        <v>50</v>
      </c>
      <c r="D150">
        <v>4.7519999999999998</v>
      </c>
    </row>
    <row r="151" spans="1:4" x14ac:dyDescent="0.3">
      <c r="A151" t="s">
        <v>6</v>
      </c>
      <c r="B151" t="s">
        <v>5</v>
      </c>
      <c r="C151" t="s">
        <v>44</v>
      </c>
      <c r="D151">
        <v>6.3559999999999999</v>
      </c>
    </row>
    <row r="152" spans="1:4" x14ac:dyDescent="0.3">
      <c r="A152" t="s">
        <v>6</v>
      </c>
      <c r="B152" t="s">
        <v>5</v>
      </c>
      <c r="C152" t="s">
        <v>39</v>
      </c>
      <c r="D152">
        <v>6.2460000000000004</v>
      </c>
    </row>
    <row r="153" spans="1:4" x14ac:dyDescent="0.3">
      <c r="A153" t="s">
        <v>6</v>
      </c>
      <c r="B153" t="s">
        <v>5</v>
      </c>
      <c r="C153" t="s">
        <v>69</v>
      </c>
      <c r="D153">
        <v>5.45</v>
      </c>
    </row>
    <row r="154" spans="1:4" x14ac:dyDescent="0.3">
      <c r="A154" t="s">
        <v>6</v>
      </c>
      <c r="B154" t="s">
        <v>5</v>
      </c>
      <c r="C154" t="s">
        <v>62</v>
      </c>
      <c r="D154">
        <v>5.4550000000000001</v>
      </c>
    </row>
    <row r="155" spans="1:4" x14ac:dyDescent="0.3">
      <c r="A155" t="s">
        <v>6</v>
      </c>
      <c r="B155" t="s">
        <v>1</v>
      </c>
      <c r="C155" t="s">
        <v>53</v>
      </c>
      <c r="D155">
        <v>13.855175555555601</v>
      </c>
    </row>
    <row r="156" spans="1:4" x14ac:dyDescent="0.3">
      <c r="A156" t="s">
        <v>6</v>
      </c>
      <c r="B156" t="s">
        <v>1</v>
      </c>
      <c r="C156" t="s">
        <v>29</v>
      </c>
      <c r="D156">
        <v>15.366923859589599</v>
      </c>
    </row>
    <row r="157" spans="1:4" x14ac:dyDescent="0.3">
      <c r="A157" t="s">
        <v>6</v>
      </c>
      <c r="B157" t="s">
        <v>1</v>
      </c>
      <c r="C157" t="s">
        <v>22</v>
      </c>
      <c r="D157">
        <v>15.624400140000001</v>
      </c>
    </row>
    <row r="158" spans="1:4" x14ac:dyDescent="0.3">
      <c r="A158" t="s">
        <v>6</v>
      </c>
      <c r="B158" t="s">
        <v>1</v>
      </c>
      <c r="C158" t="s">
        <v>10</v>
      </c>
      <c r="D158">
        <v>15.88619995</v>
      </c>
    </row>
    <row r="159" spans="1:4" x14ac:dyDescent="0.3">
      <c r="A159" t="s">
        <v>6</v>
      </c>
      <c r="B159" t="s">
        <v>1</v>
      </c>
      <c r="C159" t="s">
        <v>50</v>
      </c>
      <c r="D159">
        <v>15.984600070000001</v>
      </c>
    </row>
    <row r="160" spans="1:4" x14ac:dyDescent="0.3">
      <c r="A160" t="s">
        <v>6</v>
      </c>
      <c r="B160" t="s">
        <v>1</v>
      </c>
      <c r="C160" t="s">
        <v>44</v>
      </c>
      <c r="D160">
        <v>16.069599149999998</v>
      </c>
    </row>
    <row r="161" spans="1:4" x14ac:dyDescent="0.3">
      <c r="A161" t="s">
        <v>6</v>
      </c>
      <c r="B161" t="s">
        <v>1</v>
      </c>
      <c r="C161" t="s">
        <v>39</v>
      </c>
      <c r="D161">
        <v>16.698103100000001</v>
      </c>
    </row>
    <row r="162" spans="1:4" x14ac:dyDescent="0.3">
      <c r="A162" t="s">
        <v>6</v>
      </c>
      <c r="B162" t="s">
        <v>1</v>
      </c>
      <c r="C162" t="s">
        <v>69</v>
      </c>
      <c r="D162">
        <v>17.9836998</v>
      </c>
    </row>
    <row r="163" spans="1:4" x14ac:dyDescent="0.3">
      <c r="A163" t="s">
        <v>6</v>
      </c>
      <c r="B163" t="s">
        <v>1</v>
      </c>
      <c r="C163" t="s">
        <v>62</v>
      </c>
      <c r="D163">
        <v>20.337499619999999</v>
      </c>
    </row>
    <row r="164" spans="1:4" x14ac:dyDescent="0.3">
      <c r="A164" t="s">
        <v>8</v>
      </c>
      <c r="B164" t="s">
        <v>5</v>
      </c>
      <c r="C164" t="s">
        <v>53</v>
      </c>
      <c r="D164">
        <v>3.871</v>
      </c>
    </row>
    <row r="165" spans="1:4" x14ac:dyDescent="0.3">
      <c r="A165" t="s">
        <v>8</v>
      </c>
      <c r="B165" t="s">
        <v>5</v>
      </c>
      <c r="C165" t="s">
        <v>29</v>
      </c>
      <c r="D165">
        <v>4.4109999999999996</v>
      </c>
    </row>
    <row r="166" spans="1:4" x14ac:dyDescent="0.3">
      <c r="A166" t="s">
        <v>8</v>
      </c>
      <c r="B166" t="s">
        <v>5</v>
      </c>
      <c r="C166" t="s">
        <v>22</v>
      </c>
      <c r="D166">
        <v>5.0519999999999996</v>
      </c>
    </row>
    <row r="167" spans="1:4" x14ac:dyDescent="0.3">
      <c r="A167" t="s">
        <v>8</v>
      </c>
      <c r="B167" t="s">
        <v>5</v>
      </c>
      <c r="C167" t="s">
        <v>10</v>
      </c>
      <c r="D167">
        <v>4.8840000000000003</v>
      </c>
    </row>
    <row r="168" spans="1:4" x14ac:dyDescent="0.3">
      <c r="A168" t="s">
        <v>8</v>
      </c>
      <c r="B168" t="s">
        <v>5</v>
      </c>
      <c r="C168" t="s">
        <v>50</v>
      </c>
      <c r="D168">
        <v>4.6909999999999998</v>
      </c>
    </row>
    <row r="169" spans="1:4" x14ac:dyDescent="0.3">
      <c r="A169" t="s">
        <v>8</v>
      </c>
      <c r="B169" t="s">
        <v>5</v>
      </c>
      <c r="C169" t="s">
        <v>44</v>
      </c>
      <c r="D169">
        <v>5.6879999999999997</v>
      </c>
    </row>
    <row r="170" spans="1:4" x14ac:dyDescent="0.3">
      <c r="A170" t="s">
        <v>8</v>
      </c>
      <c r="B170" t="s">
        <v>5</v>
      </c>
      <c r="C170" t="s">
        <v>39</v>
      </c>
      <c r="D170">
        <v>5.04</v>
      </c>
    </row>
    <row r="171" spans="1:4" x14ac:dyDescent="0.3">
      <c r="A171" t="s">
        <v>8</v>
      </c>
      <c r="B171" t="s">
        <v>5</v>
      </c>
      <c r="C171" t="s">
        <v>69</v>
      </c>
      <c r="D171">
        <v>4.335</v>
      </c>
    </row>
    <row r="172" spans="1:4" x14ac:dyDescent="0.3">
      <c r="A172" t="s">
        <v>8</v>
      </c>
      <c r="B172" t="s">
        <v>5</v>
      </c>
      <c r="C172" t="s">
        <v>62</v>
      </c>
      <c r="D172">
        <v>4.2080000000000002</v>
      </c>
    </row>
    <row r="173" spans="1:4" x14ac:dyDescent="0.3">
      <c r="A173" t="s">
        <v>8</v>
      </c>
      <c r="B173" t="s">
        <v>1</v>
      </c>
      <c r="C173" t="s">
        <v>53</v>
      </c>
      <c r="D173">
        <v>5.6999998090000004</v>
      </c>
    </row>
    <row r="174" spans="1:4" x14ac:dyDescent="0.3">
      <c r="A174" t="s">
        <v>8</v>
      </c>
      <c r="B174" t="s">
        <v>1</v>
      </c>
      <c r="C174" t="s">
        <v>29</v>
      </c>
      <c r="D174">
        <v>5.9</v>
      </c>
    </row>
    <row r="175" spans="1:4" x14ac:dyDescent="0.3">
      <c r="A175" t="s">
        <v>8</v>
      </c>
      <c r="B175" t="s">
        <v>1</v>
      </c>
      <c r="C175" t="s">
        <v>22</v>
      </c>
      <c r="D175">
        <v>7.4179000850000003</v>
      </c>
    </row>
    <row r="176" spans="1:4" x14ac:dyDescent="0.3">
      <c r="A176" t="s">
        <v>8</v>
      </c>
      <c r="B176" t="s">
        <v>1</v>
      </c>
      <c r="C176" t="s">
        <v>10</v>
      </c>
      <c r="D176">
        <v>9.3262996670000007</v>
      </c>
    </row>
    <row r="177" spans="1:4" x14ac:dyDescent="0.3">
      <c r="A177" t="s">
        <v>8</v>
      </c>
      <c r="B177" t="s">
        <v>1</v>
      </c>
      <c r="C177" t="s">
        <v>50</v>
      </c>
      <c r="D177">
        <v>11.72579956</v>
      </c>
    </row>
    <row r="178" spans="1:4" x14ac:dyDescent="0.3">
      <c r="A178" t="s">
        <v>8</v>
      </c>
      <c r="B178" t="s">
        <v>1</v>
      </c>
      <c r="C178" t="s">
        <v>44</v>
      </c>
      <c r="D178">
        <v>7.4</v>
      </c>
    </row>
    <row r="179" spans="1:4" x14ac:dyDescent="0.3">
      <c r="A179" t="s">
        <v>8</v>
      </c>
      <c r="B179" t="s">
        <v>1</v>
      </c>
      <c r="C179" t="s">
        <v>39</v>
      </c>
      <c r="D179">
        <v>10</v>
      </c>
    </row>
    <row r="180" spans="1:4" x14ac:dyDescent="0.3">
      <c r="A180" t="s">
        <v>8</v>
      </c>
      <c r="B180" t="s">
        <v>1</v>
      </c>
      <c r="C180" t="s">
        <v>69</v>
      </c>
      <c r="D180">
        <v>9.6368999479999999</v>
      </c>
    </row>
    <row r="181" spans="1:4" x14ac:dyDescent="0.3">
      <c r="A181" t="s">
        <v>8</v>
      </c>
      <c r="B181" t="s">
        <v>1</v>
      </c>
      <c r="C181" t="s">
        <v>62</v>
      </c>
      <c r="D181">
        <v>9.2869997019999992</v>
      </c>
    </row>
    <row r="182" spans="1:4" x14ac:dyDescent="0.3">
      <c r="A182" t="s">
        <v>19</v>
      </c>
      <c r="B182" t="s">
        <v>5</v>
      </c>
      <c r="C182" t="s">
        <v>53</v>
      </c>
      <c r="D182">
        <v>12.364000000000001</v>
      </c>
    </row>
    <row r="183" spans="1:4" x14ac:dyDescent="0.3">
      <c r="A183" t="s">
        <v>19</v>
      </c>
      <c r="B183" t="s">
        <v>5</v>
      </c>
      <c r="C183" t="s">
        <v>29</v>
      </c>
      <c r="D183">
        <v>10.506</v>
      </c>
    </row>
    <row r="184" spans="1:4" x14ac:dyDescent="0.3">
      <c r="A184" t="s">
        <v>19</v>
      </c>
      <c r="B184" t="s">
        <v>5</v>
      </c>
      <c r="C184" t="s">
        <v>22</v>
      </c>
      <c r="D184">
        <v>8.5139999999999993</v>
      </c>
    </row>
    <row r="185" spans="1:4" x14ac:dyDescent="0.3">
      <c r="A185" t="s">
        <v>19</v>
      </c>
      <c r="B185" t="s">
        <v>5</v>
      </c>
      <c r="C185" t="s">
        <v>10</v>
      </c>
      <c r="D185">
        <v>8.7449999999999992</v>
      </c>
    </row>
    <row r="186" spans="1:4" x14ac:dyDescent="0.3">
      <c r="A186" t="s">
        <v>19</v>
      </c>
      <c r="B186" t="s">
        <v>5</v>
      </c>
      <c r="C186" t="s">
        <v>50</v>
      </c>
      <c r="D186">
        <v>10.348000000000001</v>
      </c>
    </row>
    <row r="187" spans="1:4" x14ac:dyDescent="0.3">
      <c r="A187" t="s">
        <v>19</v>
      </c>
      <c r="B187" t="s">
        <v>5</v>
      </c>
      <c r="C187" t="s">
        <v>44</v>
      </c>
      <c r="D187">
        <v>11.042</v>
      </c>
    </row>
    <row r="188" spans="1:4" x14ac:dyDescent="0.3">
      <c r="A188" t="s">
        <v>19</v>
      </c>
      <c r="B188" t="s">
        <v>5</v>
      </c>
      <c r="C188" t="s">
        <v>39</v>
      </c>
      <c r="D188">
        <v>9.3640000000000008</v>
      </c>
    </row>
    <row r="189" spans="1:4" x14ac:dyDescent="0.3">
      <c r="A189" t="s">
        <v>19</v>
      </c>
      <c r="B189" t="s">
        <v>5</v>
      </c>
      <c r="C189" t="s">
        <v>69</v>
      </c>
      <c r="D189">
        <v>9.8490000000000002</v>
      </c>
    </row>
    <row r="190" spans="1:4" x14ac:dyDescent="0.3">
      <c r="A190" t="s">
        <v>19</v>
      </c>
      <c r="B190" t="s">
        <v>5</v>
      </c>
      <c r="C190" t="s">
        <v>62</v>
      </c>
      <c r="D190">
        <v>10.038</v>
      </c>
    </row>
    <row r="191" spans="1:4" x14ac:dyDescent="0.3">
      <c r="A191" t="s">
        <v>19</v>
      </c>
      <c r="B191" t="s">
        <v>1</v>
      </c>
      <c r="C191" t="s">
        <v>53</v>
      </c>
      <c r="D191">
        <v>8.8000000000000007</v>
      </c>
    </row>
    <row r="192" spans="1:4" x14ac:dyDescent="0.3">
      <c r="A192" t="s">
        <v>19</v>
      </c>
      <c r="B192" t="s">
        <v>1</v>
      </c>
      <c r="C192" t="s">
        <v>29</v>
      </c>
      <c r="D192">
        <v>10.30000019</v>
      </c>
    </row>
    <row r="193" spans="1:4" x14ac:dyDescent="0.3">
      <c r="A193" t="s">
        <v>19</v>
      </c>
      <c r="B193" t="s">
        <v>1</v>
      </c>
      <c r="C193" t="s">
        <v>22</v>
      </c>
      <c r="D193">
        <v>12.19999981</v>
      </c>
    </row>
    <row r="194" spans="1:4" x14ac:dyDescent="0.3">
      <c r="A194" t="s">
        <v>19</v>
      </c>
      <c r="B194" t="s">
        <v>1</v>
      </c>
      <c r="C194" t="s">
        <v>10</v>
      </c>
      <c r="D194">
        <v>14.299997095001199</v>
      </c>
    </row>
    <row r="195" spans="1:4" x14ac:dyDescent="0.3">
      <c r="A195" t="s">
        <v>19</v>
      </c>
      <c r="B195" t="s">
        <v>1</v>
      </c>
      <c r="C195" t="s">
        <v>50</v>
      </c>
      <c r="D195">
        <v>14.471899990000001</v>
      </c>
    </row>
    <row r="196" spans="1:4" x14ac:dyDescent="0.3">
      <c r="A196" t="s">
        <v>19</v>
      </c>
      <c r="B196" t="s">
        <v>1</v>
      </c>
      <c r="C196" t="s">
        <v>44</v>
      </c>
      <c r="D196">
        <v>14.64579964</v>
      </c>
    </row>
    <row r="197" spans="1:4" x14ac:dyDescent="0.3">
      <c r="A197" t="s">
        <v>19</v>
      </c>
      <c r="B197" t="s">
        <v>1</v>
      </c>
      <c r="C197" t="s">
        <v>39</v>
      </c>
      <c r="D197">
        <v>14.82190037</v>
      </c>
    </row>
    <row r="198" spans="1:4" x14ac:dyDescent="0.3">
      <c r="A198" t="s">
        <v>19</v>
      </c>
      <c r="B198" t="s">
        <v>1</v>
      </c>
      <c r="C198" t="s">
        <v>69</v>
      </c>
      <c r="D198">
        <v>15</v>
      </c>
    </row>
    <row r="199" spans="1:4" x14ac:dyDescent="0.3">
      <c r="A199" t="s">
        <v>19</v>
      </c>
      <c r="B199" t="s">
        <v>1</v>
      </c>
      <c r="C199" t="s">
        <v>62</v>
      </c>
      <c r="D199">
        <v>16.45070076</v>
      </c>
    </row>
    <row r="200" spans="1:4" x14ac:dyDescent="0.3">
      <c r="A200" t="s">
        <v>45</v>
      </c>
      <c r="B200" t="s">
        <v>5</v>
      </c>
      <c r="C200" t="s">
        <v>53</v>
      </c>
      <c r="D200">
        <v>8.0449999999999999</v>
      </c>
    </row>
    <row r="201" spans="1:4" x14ac:dyDescent="0.3">
      <c r="A201" t="s">
        <v>45</v>
      </c>
      <c r="B201" t="s">
        <v>5</v>
      </c>
      <c r="C201" t="s">
        <v>29</v>
      </c>
      <c r="D201">
        <v>6.3739999999999997</v>
      </c>
    </row>
    <row r="202" spans="1:4" x14ac:dyDescent="0.3">
      <c r="A202" t="s">
        <v>45</v>
      </c>
      <c r="B202" t="s">
        <v>5</v>
      </c>
      <c r="C202" t="s">
        <v>22</v>
      </c>
      <c r="D202">
        <v>5.8360000000000003</v>
      </c>
    </row>
    <row r="203" spans="1:4" x14ac:dyDescent="0.3">
      <c r="A203" t="s">
        <v>45</v>
      </c>
      <c r="B203" t="s">
        <v>5</v>
      </c>
      <c r="C203" t="s">
        <v>10</v>
      </c>
      <c r="D203">
        <v>4.92</v>
      </c>
    </row>
    <row r="204" spans="1:4" x14ac:dyDescent="0.3">
      <c r="A204" t="s">
        <v>45</v>
      </c>
      <c r="B204" t="s">
        <v>5</v>
      </c>
      <c r="C204" t="s">
        <v>50</v>
      </c>
      <c r="D204">
        <v>4.0369999999999999</v>
      </c>
    </row>
    <row r="205" spans="1:4" x14ac:dyDescent="0.3">
      <c r="A205" t="s">
        <v>45</v>
      </c>
      <c r="B205" t="s">
        <v>5</v>
      </c>
      <c r="C205" t="s">
        <v>44</v>
      </c>
      <c r="D205">
        <v>4.8170000000000002</v>
      </c>
    </row>
    <row r="206" spans="1:4" x14ac:dyDescent="0.3">
      <c r="A206" t="s">
        <v>45</v>
      </c>
      <c r="B206" t="s">
        <v>5</v>
      </c>
      <c r="C206" t="s">
        <v>39</v>
      </c>
      <c r="D206">
        <v>4.6609999999999996</v>
      </c>
    </row>
    <row r="207" spans="1:4" x14ac:dyDescent="0.3">
      <c r="A207" t="s">
        <v>45</v>
      </c>
      <c r="B207" t="s">
        <v>5</v>
      </c>
      <c r="C207" t="s">
        <v>69</v>
      </c>
      <c r="D207">
        <v>3.9020000000000001</v>
      </c>
    </row>
    <row r="208" spans="1:4" x14ac:dyDescent="0.3">
      <c r="A208" t="s">
        <v>45</v>
      </c>
      <c r="B208" t="s">
        <v>5</v>
      </c>
      <c r="C208" t="s">
        <v>62</v>
      </c>
      <c r="D208">
        <v>3.859</v>
      </c>
    </row>
    <row r="209" spans="1:4" x14ac:dyDescent="0.3">
      <c r="A209" t="s">
        <v>45</v>
      </c>
      <c r="B209" t="s">
        <v>1</v>
      </c>
      <c r="C209" t="s">
        <v>53</v>
      </c>
      <c r="D209">
        <v>21.700000760000002</v>
      </c>
    </row>
    <row r="210" spans="1:4" x14ac:dyDescent="0.3">
      <c r="A210" t="s">
        <v>45</v>
      </c>
      <c r="B210" t="s">
        <v>1</v>
      </c>
      <c r="C210" t="s">
        <v>29</v>
      </c>
      <c r="D210">
        <v>25.664800639999999</v>
      </c>
    </row>
    <row r="211" spans="1:4" x14ac:dyDescent="0.3">
      <c r="A211" t="s">
        <v>45</v>
      </c>
      <c r="B211" t="s">
        <v>1</v>
      </c>
      <c r="C211" t="s">
        <v>22</v>
      </c>
      <c r="D211">
        <v>29.643100740000001</v>
      </c>
    </row>
    <row r="212" spans="1:4" x14ac:dyDescent="0.3">
      <c r="A212" t="s">
        <v>45</v>
      </c>
      <c r="B212" t="s">
        <v>1</v>
      </c>
      <c r="C212" t="s">
        <v>10</v>
      </c>
      <c r="D212">
        <v>35.299999239999998</v>
      </c>
    </row>
    <row r="213" spans="1:4" x14ac:dyDescent="0.3">
      <c r="A213" t="s">
        <v>45</v>
      </c>
      <c r="B213" t="s">
        <v>1</v>
      </c>
      <c r="C213" t="s">
        <v>50</v>
      </c>
      <c r="D213">
        <v>43.379699709999997</v>
      </c>
    </row>
    <row r="214" spans="1:4" x14ac:dyDescent="0.3">
      <c r="A214" t="s">
        <v>45</v>
      </c>
      <c r="B214" t="s">
        <v>1</v>
      </c>
      <c r="C214" t="s">
        <v>44</v>
      </c>
      <c r="D214">
        <v>53.308799739999998</v>
      </c>
    </row>
    <row r="215" spans="1:4" x14ac:dyDescent="0.3">
      <c r="A215" t="s">
        <v>45</v>
      </c>
      <c r="B215" t="s">
        <v>1</v>
      </c>
      <c r="C215" t="s">
        <v>39</v>
      </c>
      <c r="D215">
        <v>55.040401459999998</v>
      </c>
    </row>
    <row r="216" spans="1:4" x14ac:dyDescent="0.3">
      <c r="A216" t="s">
        <v>45</v>
      </c>
      <c r="B216" t="s">
        <v>1</v>
      </c>
      <c r="C216" t="s">
        <v>69</v>
      </c>
      <c r="D216">
        <v>56.828300480000003</v>
      </c>
    </row>
    <row r="217" spans="1:4" x14ac:dyDescent="0.3">
      <c r="A217" t="s">
        <v>45</v>
      </c>
      <c r="B217" t="s">
        <v>1</v>
      </c>
      <c r="C217" t="s">
        <v>62</v>
      </c>
      <c r="D217">
        <v>59.187400820000001</v>
      </c>
    </row>
    <row r="218" spans="1:4" x14ac:dyDescent="0.3">
      <c r="A218" t="s">
        <v>58</v>
      </c>
      <c r="B218" t="s">
        <v>5</v>
      </c>
      <c r="C218" t="s">
        <v>53</v>
      </c>
      <c r="D218">
        <v>6.2329999999999997</v>
      </c>
    </row>
    <row r="219" spans="1:4" x14ac:dyDescent="0.3">
      <c r="A219" t="s">
        <v>58</v>
      </c>
      <c r="B219" t="s">
        <v>5</v>
      </c>
      <c r="C219" t="s">
        <v>29</v>
      </c>
      <c r="D219">
        <v>6.3010000000000002</v>
      </c>
    </row>
    <row r="220" spans="1:4" x14ac:dyDescent="0.3">
      <c r="A220" t="s">
        <v>58</v>
      </c>
      <c r="B220" t="s">
        <v>5</v>
      </c>
      <c r="C220" t="s">
        <v>22</v>
      </c>
      <c r="D220">
        <v>6.407</v>
      </c>
    </row>
    <row r="221" spans="1:4" x14ac:dyDescent="0.3">
      <c r="A221" t="s">
        <v>58</v>
      </c>
      <c r="B221" t="s">
        <v>5</v>
      </c>
      <c r="C221" t="s">
        <v>10</v>
      </c>
      <c r="D221">
        <v>6.5030000000000001</v>
      </c>
    </row>
    <row r="222" spans="1:4" x14ac:dyDescent="0.3">
      <c r="A222" t="s">
        <v>58</v>
      </c>
      <c r="B222" t="s">
        <v>5</v>
      </c>
      <c r="C222" t="s">
        <v>50</v>
      </c>
      <c r="D222">
        <v>6.585</v>
      </c>
    </row>
    <row r="223" spans="1:4" x14ac:dyDescent="0.3">
      <c r="A223" t="s">
        <v>58</v>
      </c>
      <c r="B223" t="s">
        <v>5</v>
      </c>
      <c r="C223" t="s">
        <v>44</v>
      </c>
      <c r="D223">
        <v>7.3710000000000004</v>
      </c>
    </row>
    <row r="224" spans="1:4" x14ac:dyDescent="0.3">
      <c r="A224" t="s">
        <v>58</v>
      </c>
      <c r="B224" t="s">
        <v>5</v>
      </c>
      <c r="C224" t="s">
        <v>39</v>
      </c>
      <c r="D224">
        <v>7.2249999999999996</v>
      </c>
    </row>
    <row r="225" spans="1:4" x14ac:dyDescent="0.3">
      <c r="A225" t="s">
        <v>58</v>
      </c>
      <c r="B225" t="s">
        <v>5</v>
      </c>
      <c r="C225" t="s">
        <v>69</v>
      </c>
      <c r="D225">
        <v>6.6669999999999998</v>
      </c>
    </row>
    <row r="226" spans="1:4" x14ac:dyDescent="0.3">
      <c r="A226" t="s">
        <v>58</v>
      </c>
      <c r="B226" t="s">
        <v>5</v>
      </c>
      <c r="C226" t="s">
        <v>62</v>
      </c>
      <c r="D226">
        <v>6.6210000000000004</v>
      </c>
    </row>
    <row r="227" spans="1:4" x14ac:dyDescent="0.3">
      <c r="A227" t="s">
        <v>58</v>
      </c>
      <c r="B227" t="s">
        <v>1</v>
      </c>
      <c r="C227" t="s">
        <v>53</v>
      </c>
      <c r="D227">
        <v>18.299999239999998</v>
      </c>
    </row>
    <row r="228" spans="1:4" x14ac:dyDescent="0.3">
      <c r="A228" t="s">
        <v>58</v>
      </c>
      <c r="B228" t="s">
        <v>1</v>
      </c>
      <c r="C228" t="s">
        <v>29</v>
      </c>
      <c r="D228">
        <v>20.600000380000001</v>
      </c>
    </row>
    <row r="229" spans="1:4" x14ac:dyDescent="0.3">
      <c r="A229" t="s">
        <v>58</v>
      </c>
      <c r="B229" t="s">
        <v>1</v>
      </c>
      <c r="C229" t="s">
        <v>22</v>
      </c>
      <c r="D229">
        <v>23.2029719748646</v>
      </c>
    </row>
    <row r="230" spans="1:4" x14ac:dyDescent="0.3">
      <c r="A230" t="s">
        <v>58</v>
      </c>
      <c r="B230" t="s">
        <v>1</v>
      </c>
      <c r="C230" t="s">
        <v>10</v>
      </c>
      <c r="D230">
        <v>29.700000760000002</v>
      </c>
    </row>
    <row r="231" spans="1:4" x14ac:dyDescent="0.3">
      <c r="A231" t="s">
        <v>58</v>
      </c>
      <c r="B231" t="s">
        <v>1</v>
      </c>
      <c r="C231" t="s">
        <v>50</v>
      </c>
      <c r="D231">
        <v>36.539199830000001</v>
      </c>
    </row>
    <row r="232" spans="1:4" x14ac:dyDescent="0.3">
      <c r="A232" t="s">
        <v>58</v>
      </c>
      <c r="B232" t="s">
        <v>1</v>
      </c>
      <c r="C232" t="s">
        <v>44</v>
      </c>
      <c r="D232">
        <v>37.697498320000001</v>
      </c>
    </row>
    <row r="233" spans="1:4" x14ac:dyDescent="0.3">
      <c r="A233" t="s">
        <v>58</v>
      </c>
      <c r="B233" t="s">
        <v>1</v>
      </c>
      <c r="C233" t="s">
        <v>39</v>
      </c>
      <c r="D233">
        <v>38.89260101</v>
      </c>
    </row>
    <row r="234" spans="1:4" x14ac:dyDescent="0.3">
      <c r="A234" t="s">
        <v>58</v>
      </c>
      <c r="B234" t="s">
        <v>1</v>
      </c>
      <c r="C234" t="s">
        <v>69</v>
      </c>
      <c r="D234">
        <v>40.125598910000001</v>
      </c>
    </row>
    <row r="235" spans="1:4" x14ac:dyDescent="0.3">
      <c r="A235" t="s">
        <v>58</v>
      </c>
      <c r="B235" t="s">
        <v>1</v>
      </c>
      <c r="C235" t="s">
        <v>62</v>
      </c>
      <c r="D235">
        <v>42.243801120000001</v>
      </c>
    </row>
    <row r="236" spans="1:4" x14ac:dyDescent="0.3">
      <c r="A236" t="s">
        <v>36</v>
      </c>
      <c r="B236" t="s">
        <v>5</v>
      </c>
      <c r="C236" t="s">
        <v>53</v>
      </c>
      <c r="D236">
        <v>3.3759999999999999</v>
      </c>
    </row>
    <row r="237" spans="1:4" x14ac:dyDescent="0.3">
      <c r="A237" t="s">
        <v>36</v>
      </c>
      <c r="B237" t="s">
        <v>5</v>
      </c>
      <c r="C237" t="s">
        <v>29</v>
      </c>
      <c r="D237">
        <v>2.04</v>
      </c>
    </row>
    <row r="238" spans="1:4" x14ac:dyDescent="0.3">
      <c r="A238" t="s">
        <v>36</v>
      </c>
      <c r="B238" t="s">
        <v>5</v>
      </c>
      <c r="C238" t="s">
        <v>22</v>
      </c>
      <c r="D238">
        <v>5.2569999999999997</v>
      </c>
    </row>
    <row r="239" spans="1:4" x14ac:dyDescent="0.3">
      <c r="A239" t="s">
        <v>36</v>
      </c>
      <c r="B239" t="s">
        <v>5</v>
      </c>
      <c r="C239" t="s">
        <v>10</v>
      </c>
      <c r="D239">
        <v>4.6669999999999998</v>
      </c>
    </row>
    <row r="240" spans="1:4" x14ac:dyDescent="0.3">
      <c r="A240" t="s">
        <v>36</v>
      </c>
      <c r="B240" t="s">
        <v>5</v>
      </c>
      <c r="C240" t="s">
        <v>50</v>
      </c>
      <c r="D240">
        <v>4.0430000000000001</v>
      </c>
    </row>
    <row r="241" spans="1:4" x14ac:dyDescent="0.3">
      <c r="A241" t="s">
        <v>36</v>
      </c>
      <c r="B241" t="s">
        <v>5</v>
      </c>
      <c r="C241" t="s">
        <v>44</v>
      </c>
      <c r="D241">
        <v>4.6870000000000003</v>
      </c>
    </row>
    <row r="242" spans="1:4" x14ac:dyDescent="0.3">
      <c r="A242" t="s">
        <v>36</v>
      </c>
      <c r="B242" t="s">
        <v>5</v>
      </c>
      <c r="C242" t="s">
        <v>39</v>
      </c>
      <c r="D242">
        <v>4.7530000000000001</v>
      </c>
    </row>
    <row r="243" spans="1:4" x14ac:dyDescent="0.3">
      <c r="A243" t="s">
        <v>36</v>
      </c>
      <c r="B243" t="s">
        <v>5</v>
      </c>
      <c r="C243" t="s">
        <v>69</v>
      </c>
      <c r="D243">
        <v>4.3040000000000003</v>
      </c>
    </row>
    <row r="244" spans="1:4" x14ac:dyDescent="0.3">
      <c r="A244" t="s">
        <v>36</v>
      </c>
      <c r="B244" t="s">
        <v>5</v>
      </c>
      <c r="C244" t="s">
        <v>62</v>
      </c>
      <c r="D244">
        <v>4.2430000000000003</v>
      </c>
    </row>
    <row r="245" spans="1:4" x14ac:dyDescent="0.3">
      <c r="A245" t="s">
        <v>36</v>
      </c>
      <c r="B245" t="s">
        <v>1</v>
      </c>
      <c r="C245" t="s">
        <v>53</v>
      </c>
      <c r="D245">
        <v>38.440000165461598</v>
      </c>
    </row>
    <row r="246" spans="1:4" x14ac:dyDescent="0.3">
      <c r="A246" t="s">
        <v>36</v>
      </c>
      <c r="B246" t="s">
        <v>1</v>
      </c>
      <c r="C246" t="s">
        <v>29</v>
      </c>
      <c r="D246">
        <v>41.207814930441401</v>
      </c>
    </row>
    <row r="247" spans="1:4" x14ac:dyDescent="0.3">
      <c r="A247" t="s">
        <v>36</v>
      </c>
      <c r="B247" t="s">
        <v>1</v>
      </c>
      <c r="C247" t="s">
        <v>22</v>
      </c>
      <c r="D247">
        <v>43.839920851487598</v>
      </c>
    </row>
    <row r="248" spans="1:4" x14ac:dyDescent="0.3">
      <c r="A248" t="s">
        <v>36</v>
      </c>
      <c r="B248" t="s">
        <v>1</v>
      </c>
      <c r="C248" t="s">
        <v>10</v>
      </c>
      <c r="D248">
        <v>37.546536130128104</v>
      </c>
    </row>
    <row r="249" spans="1:4" x14ac:dyDescent="0.3">
      <c r="A249" t="s">
        <v>36</v>
      </c>
      <c r="B249" t="s">
        <v>1</v>
      </c>
      <c r="C249" t="s">
        <v>50</v>
      </c>
      <c r="D249">
        <v>36.288954565520498</v>
      </c>
    </row>
    <row r="250" spans="1:4" x14ac:dyDescent="0.3">
      <c r="A250" t="s">
        <v>36</v>
      </c>
      <c r="B250" t="s">
        <v>1</v>
      </c>
      <c r="C250" t="s">
        <v>44</v>
      </c>
      <c r="D250">
        <v>36.016601559999998</v>
      </c>
    </row>
    <row r="251" spans="1:4" x14ac:dyDescent="0.3">
      <c r="A251" t="s">
        <v>36</v>
      </c>
      <c r="B251" t="s">
        <v>1</v>
      </c>
      <c r="C251" t="s">
        <v>39</v>
      </c>
      <c r="D251">
        <v>35.950698850000002</v>
      </c>
    </row>
    <row r="252" spans="1:4" x14ac:dyDescent="0.3">
      <c r="A252" t="s">
        <v>36</v>
      </c>
      <c r="B252" t="s">
        <v>1</v>
      </c>
      <c r="C252" t="s">
        <v>69</v>
      </c>
      <c r="D252">
        <v>38.413281220000002</v>
      </c>
    </row>
    <row r="253" spans="1:4" x14ac:dyDescent="0.3">
      <c r="A253" t="s">
        <v>36</v>
      </c>
      <c r="B253" t="s">
        <v>1</v>
      </c>
      <c r="C253" t="s">
        <v>62</v>
      </c>
      <c r="D253">
        <v>40.652849789999998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C2635-56FB-4EBC-907D-5C6FD3ED745E}">
  <dimension ref="A1:D14"/>
  <sheetViews>
    <sheetView zoomScale="73" zoomScaleNormal="73" workbookViewId="0">
      <selection activeCell="F19" sqref="F19"/>
    </sheetView>
  </sheetViews>
  <sheetFormatPr defaultRowHeight="14.4" x14ac:dyDescent="0.3"/>
  <cols>
    <col min="1" max="1" width="15.44140625" bestFit="1" customWidth="1"/>
    <col min="2" max="2" width="41.33203125" bestFit="1" customWidth="1"/>
    <col min="3" max="3" width="75.109375" bestFit="1" customWidth="1"/>
    <col min="4" max="4" width="10.77734375" bestFit="1" customWidth="1"/>
    <col min="5" max="15" width="12.77734375" bestFit="1" customWidth="1"/>
    <col min="16" max="16" width="46.21875" bestFit="1" customWidth="1"/>
    <col min="17" max="17" width="77.109375" bestFit="1" customWidth="1"/>
    <col min="18" max="18" width="12.77734375" bestFit="1" customWidth="1"/>
    <col min="19" max="19" width="15.109375" bestFit="1" customWidth="1"/>
    <col min="20" max="22" width="12.77734375" bestFit="1" customWidth="1"/>
    <col min="23" max="23" width="7.109375" bestFit="1" customWidth="1"/>
    <col min="24" max="30" width="12.77734375" bestFit="1" customWidth="1"/>
    <col min="31" max="31" width="79.88671875" bestFit="1" customWidth="1"/>
    <col min="32" max="32" width="12.77734375" bestFit="1" customWidth="1"/>
    <col min="33" max="33" width="77.109375" bestFit="1" customWidth="1"/>
    <col min="34" max="41" width="13.33203125" bestFit="1" customWidth="1"/>
    <col min="42" max="42" width="79.88671875" bestFit="1" customWidth="1"/>
    <col min="43" max="43" width="16.44140625" bestFit="1" customWidth="1"/>
    <col min="44" max="44" width="43.33203125" bestFit="1" customWidth="1"/>
    <col min="45" max="52" width="13.33203125" bestFit="1" customWidth="1"/>
    <col min="53" max="53" width="46.21875" bestFit="1" customWidth="1"/>
    <col min="54" max="54" width="77.109375" bestFit="1" customWidth="1"/>
    <col min="55" max="62" width="13.33203125" bestFit="1" customWidth="1"/>
    <col min="63" max="63" width="79.88671875" bestFit="1" customWidth="1"/>
    <col min="64" max="64" width="19.88671875" bestFit="1" customWidth="1"/>
    <col min="65" max="65" width="43.33203125" bestFit="1" customWidth="1"/>
    <col min="66" max="73" width="13.33203125" bestFit="1" customWidth="1"/>
    <col min="74" max="74" width="46.21875" bestFit="1" customWidth="1"/>
    <col min="75" max="75" width="77.109375" bestFit="1" customWidth="1"/>
    <col min="76" max="83" width="13.33203125" bestFit="1" customWidth="1"/>
    <col min="84" max="84" width="79.88671875" bestFit="1" customWidth="1"/>
    <col min="85" max="85" width="12.77734375" bestFit="1" customWidth="1"/>
    <col min="86" max="86" width="43.33203125" bestFit="1" customWidth="1"/>
    <col min="87" max="94" width="13.33203125" bestFit="1" customWidth="1"/>
    <col min="95" max="95" width="46.21875" bestFit="1" customWidth="1"/>
    <col min="96" max="96" width="77.109375" bestFit="1" customWidth="1"/>
    <col min="97" max="104" width="13.33203125" bestFit="1" customWidth="1"/>
    <col min="105" max="105" width="79.88671875" bestFit="1" customWidth="1"/>
    <col min="106" max="106" width="12.77734375" bestFit="1" customWidth="1"/>
    <col min="107" max="107" width="43.33203125" bestFit="1" customWidth="1"/>
    <col min="108" max="115" width="13.33203125" bestFit="1" customWidth="1"/>
    <col min="116" max="116" width="46.21875" bestFit="1" customWidth="1"/>
    <col min="117" max="117" width="77.109375" bestFit="1" customWidth="1"/>
    <col min="118" max="125" width="13.33203125" bestFit="1" customWidth="1"/>
    <col min="126" max="126" width="79.88671875" bestFit="1" customWidth="1"/>
    <col min="127" max="127" width="12.77734375" bestFit="1" customWidth="1"/>
    <col min="128" max="128" width="43.33203125" bestFit="1" customWidth="1"/>
    <col min="129" max="136" width="13.33203125" bestFit="1" customWidth="1"/>
    <col min="137" max="137" width="46.21875" bestFit="1" customWidth="1"/>
    <col min="138" max="138" width="77.109375" bestFit="1" customWidth="1"/>
    <col min="139" max="146" width="13.33203125" bestFit="1" customWidth="1"/>
    <col min="147" max="147" width="79.88671875" bestFit="1" customWidth="1"/>
    <col min="148" max="148" width="12.77734375" bestFit="1" customWidth="1"/>
    <col min="149" max="149" width="43.33203125" bestFit="1" customWidth="1"/>
    <col min="150" max="157" width="13.33203125" bestFit="1" customWidth="1"/>
    <col min="158" max="158" width="46.21875" bestFit="1" customWidth="1"/>
    <col min="159" max="159" width="77.109375" bestFit="1" customWidth="1"/>
    <col min="160" max="167" width="13.33203125" bestFit="1" customWidth="1"/>
    <col min="168" max="168" width="79.88671875" bestFit="1" customWidth="1"/>
    <col min="169" max="169" width="16.88671875" bestFit="1" customWidth="1"/>
    <col min="170" max="170" width="43.33203125" bestFit="1" customWidth="1"/>
    <col min="171" max="178" width="13.33203125" bestFit="1" customWidth="1"/>
    <col min="179" max="179" width="46.21875" bestFit="1" customWidth="1"/>
    <col min="180" max="180" width="77.109375" bestFit="1" customWidth="1"/>
    <col min="181" max="188" width="13.33203125" bestFit="1" customWidth="1"/>
    <col min="189" max="189" width="79.88671875" bestFit="1" customWidth="1"/>
    <col min="190" max="190" width="12.77734375" bestFit="1" customWidth="1"/>
    <col min="191" max="191" width="43.33203125" bestFit="1" customWidth="1"/>
    <col min="192" max="199" width="13.33203125" bestFit="1" customWidth="1"/>
    <col min="200" max="200" width="46.21875" bestFit="1" customWidth="1"/>
    <col min="201" max="201" width="77.109375" bestFit="1" customWidth="1"/>
    <col min="202" max="209" width="13.33203125" bestFit="1" customWidth="1"/>
    <col min="210" max="210" width="79.88671875" bestFit="1" customWidth="1"/>
    <col min="211" max="211" width="12.77734375" bestFit="1" customWidth="1"/>
    <col min="212" max="212" width="43.33203125" bestFit="1" customWidth="1"/>
    <col min="213" max="220" width="13.33203125" bestFit="1" customWidth="1"/>
    <col min="221" max="221" width="46.21875" bestFit="1" customWidth="1"/>
    <col min="222" max="222" width="77.109375" bestFit="1" customWidth="1"/>
    <col min="223" max="230" width="13.33203125" bestFit="1" customWidth="1"/>
    <col min="231" max="231" width="79.88671875" bestFit="1" customWidth="1"/>
    <col min="232" max="232" width="12.77734375" bestFit="1" customWidth="1"/>
    <col min="233" max="233" width="43.33203125" bestFit="1" customWidth="1"/>
    <col min="234" max="241" width="13.33203125" bestFit="1" customWidth="1"/>
    <col min="242" max="242" width="46.21875" bestFit="1" customWidth="1"/>
    <col min="243" max="243" width="77.109375" bestFit="1" customWidth="1"/>
    <col min="244" max="251" width="13.33203125" bestFit="1" customWidth="1"/>
    <col min="252" max="252" width="79.88671875" bestFit="1" customWidth="1"/>
    <col min="253" max="253" width="13.21875" bestFit="1" customWidth="1"/>
    <col min="254" max="254" width="43.33203125" bestFit="1" customWidth="1"/>
    <col min="255" max="262" width="13.33203125" bestFit="1" customWidth="1"/>
    <col min="263" max="263" width="46.21875" bestFit="1" customWidth="1"/>
    <col min="264" max="264" width="77.109375" bestFit="1" customWidth="1"/>
    <col min="265" max="272" width="13.33203125" bestFit="1" customWidth="1"/>
    <col min="273" max="273" width="79.88671875" bestFit="1" customWidth="1"/>
    <col min="274" max="274" width="12.77734375" bestFit="1" customWidth="1"/>
    <col min="275" max="275" width="43.33203125" bestFit="1" customWidth="1"/>
    <col min="276" max="283" width="13.33203125" bestFit="1" customWidth="1"/>
    <col min="284" max="284" width="46.21875" bestFit="1" customWidth="1"/>
    <col min="285" max="285" width="77.109375" bestFit="1" customWidth="1"/>
    <col min="286" max="293" width="13.33203125" bestFit="1" customWidth="1"/>
    <col min="294" max="294" width="79.88671875" bestFit="1" customWidth="1"/>
    <col min="295" max="296" width="12.77734375" bestFit="1" customWidth="1"/>
  </cols>
  <sheetData>
    <row r="1" spans="1:4" x14ac:dyDescent="0.3">
      <c r="A1" s="3" t="s">
        <v>23</v>
      </c>
      <c r="B1" t="s">
        <v>45</v>
      </c>
    </row>
    <row r="3" spans="1:4" x14ac:dyDescent="0.3">
      <c r="A3" s="3" t="s">
        <v>81</v>
      </c>
      <c r="B3" s="3" t="s">
        <v>78</v>
      </c>
    </row>
    <row r="4" spans="1:4" x14ac:dyDescent="0.3">
      <c r="A4" s="3" t="s">
        <v>76</v>
      </c>
      <c r="B4" t="s">
        <v>1</v>
      </c>
      <c r="C4" t="s">
        <v>5</v>
      </c>
      <c r="D4" t="s">
        <v>77</v>
      </c>
    </row>
    <row r="5" spans="1:4" x14ac:dyDescent="0.3">
      <c r="A5" s="4" t="s">
        <v>53</v>
      </c>
      <c r="B5" s="5">
        <v>21.700000760000002</v>
      </c>
      <c r="C5" s="5">
        <v>8.0449999999999999</v>
      </c>
      <c r="D5" s="5">
        <v>14.872500380000002</v>
      </c>
    </row>
    <row r="6" spans="1:4" x14ac:dyDescent="0.3">
      <c r="A6" s="4" t="s">
        <v>29</v>
      </c>
      <c r="B6" s="5">
        <v>25.664800639999999</v>
      </c>
      <c r="C6" s="5">
        <v>6.3739999999999997</v>
      </c>
      <c r="D6" s="5">
        <v>16.019400319999999</v>
      </c>
    </row>
    <row r="7" spans="1:4" x14ac:dyDescent="0.3">
      <c r="A7" s="4" t="s">
        <v>22</v>
      </c>
      <c r="B7" s="5">
        <v>29.643100740000001</v>
      </c>
      <c r="C7" s="5">
        <v>5.8360000000000003</v>
      </c>
      <c r="D7" s="5">
        <v>17.73955037</v>
      </c>
    </row>
    <row r="8" spans="1:4" x14ac:dyDescent="0.3">
      <c r="A8" s="4" t="s">
        <v>10</v>
      </c>
      <c r="B8" s="5">
        <v>35.299999239999998</v>
      </c>
      <c r="C8" s="5">
        <v>4.92</v>
      </c>
      <c r="D8" s="5">
        <v>20.10999962</v>
      </c>
    </row>
    <row r="9" spans="1:4" x14ac:dyDescent="0.3">
      <c r="A9" s="4" t="s">
        <v>50</v>
      </c>
      <c r="B9" s="5">
        <v>43.379699709999997</v>
      </c>
      <c r="C9" s="5">
        <v>4.0369999999999999</v>
      </c>
      <c r="D9" s="5">
        <v>23.708349854999998</v>
      </c>
    </row>
    <row r="10" spans="1:4" x14ac:dyDescent="0.3">
      <c r="A10" s="4" t="s">
        <v>44</v>
      </c>
      <c r="B10" s="5">
        <v>53.308799739999998</v>
      </c>
      <c r="C10" s="5">
        <v>4.8170000000000002</v>
      </c>
      <c r="D10" s="5">
        <v>29.062899869999999</v>
      </c>
    </row>
    <row r="11" spans="1:4" x14ac:dyDescent="0.3">
      <c r="A11" s="4" t="s">
        <v>39</v>
      </c>
      <c r="B11" s="5">
        <v>55.040401459999998</v>
      </c>
      <c r="C11" s="5">
        <v>4.6609999999999996</v>
      </c>
      <c r="D11" s="5">
        <v>29.85070073</v>
      </c>
    </row>
    <row r="12" spans="1:4" x14ac:dyDescent="0.3">
      <c r="A12" s="4" t="s">
        <v>69</v>
      </c>
      <c r="B12" s="5">
        <v>56.828300480000003</v>
      </c>
      <c r="C12" s="5">
        <v>3.9020000000000001</v>
      </c>
      <c r="D12" s="5">
        <v>30.365150240000002</v>
      </c>
    </row>
    <row r="13" spans="1:4" x14ac:dyDescent="0.3">
      <c r="A13" s="4" t="s">
        <v>62</v>
      </c>
      <c r="B13" s="5">
        <v>59.187400820000001</v>
      </c>
      <c r="C13" s="5">
        <v>3.859</v>
      </c>
      <c r="D13" s="5">
        <v>31.523200410000001</v>
      </c>
    </row>
    <row r="14" spans="1:4" x14ac:dyDescent="0.3">
      <c r="A14" s="4" t="s">
        <v>77</v>
      </c>
      <c r="B14" s="5">
        <v>42.228055954444443</v>
      </c>
      <c r="C14" s="5">
        <v>5.1612222222222233</v>
      </c>
      <c r="D14" s="5">
        <v>23.694639088333329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63804-231E-481A-A946-229E1BC6CB31}">
  <dimension ref="A1:I19"/>
  <sheetViews>
    <sheetView zoomScale="70" zoomScaleNormal="70" workbookViewId="0">
      <selection activeCell="S23" sqref="S23"/>
    </sheetView>
  </sheetViews>
  <sheetFormatPr defaultRowHeight="14.4" x14ac:dyDescent="0.3"/>
  <cols>
    <col min="1" max="1" width="14.33203125" bestFit="1" customWidth="1"/>
    <col min="2" max="2" width="25" bestFit="1" customWidth="1"/>
    <col min="3" max="3" width="17.77734375" bestFit="1" customWidth="1"/>
  </cols>
  <sheetData>
    <row r="1" spans="1:3" x14ac:dyDescent="0.3">
      <c r="A1" t="s">
        <v>70</v>
      </c>
      <c r="B1" t="s">
        <v>72</v>
      </c>
      <c r="C1" t="s">
        <v>71</v>
      </c>
    </row>
    <row r="2" spans="1:3" x14ac:dyDescent="0.3">
      <c r="A2" t="s">
        <v>34</v>
      </c>
      <c r="B2">
        <f>ROUND(AVERAGEIFS(RawData!K:K, RawData!A:A, Summary!A2, RawData!B:B, "Unemployment*"), 1)</f>
        <v>5.0999999999999996</v>
      </c>
      <c r="C2">
        <f>ROUND(AVERAGEIFS(RawData!K:K, RawData!A:A, Summary!A2, RawData!B:B, "Individuals*"), 1)</f>
        <v>40.1</v>
      </c>
    </row>
    <row r="3" spans="1:3" x14ac:dyDescent="0.3">
      <c r="A3" t="s">
        <v>38</v>
      </c>
      <c r="B3">
        <f>ROUND(AVERAGEIFS(RawData!K:K, RawData!A:A, Summary!A3, RawData!B:B, "Unemployment*"), 1)</f>
        <v>6.8</v>
      </c>
      <c r="C3">
        <f>ROUND(AVERAGEIFS(RawData!K:K, RawData!A:A, Summary!A3, RawData!B:B, "Individuals*"), 1)</f>
        <v>18</v>
      </c>
    </row>
    <row r="4" spans="1:3" x14ac:dyDescent="0.3">
      <c r="A4" t="s">
        <v>13</v>
      </c>
      <c r="B4">
        <f>ROUND(AVERAGEIFS(RawData!K:K, RawData!A:A, Summary!A4, RawData!B:B, "Unemployment*"), 1)</f>
        <v>11.5</v>
      </c>
      <c r="C4">
        <f>ROUND(AVERAGEIFS(RawData!K:K, RawData!A:A, Summary!A4, RawData!B:B, "Individuals*"), 1)</f>
        <v>19.899999999999999</v>
      </c>
    </row>
    <row r="5" spans="1:3" x14ac:dyDescent="0.3">
      <c r="A5" t="s">
        <v>20</v>
      </c>
      <c r="B5">
        <f>ROUND(AVERAGEIFS(RawData!K:K, RawData!A:A, Summary!A5, RawData!B:B, "Unemployment*"), 1)</f>
        <v>15.2</v>
      </c>
      <c r="C5">
        <f>ROUND(AVERAGEIFS(RawData!K:K, RawData!A:A, Summary!A5, RawData!B:B, "Individuals*"), 1)</f>
        <v>32.1</v>
      </c>
    </row>
    <row r="6" spans="1:3" x14ac:dyDescent="0.3">
      <c r="A6" t="s">
        <v>16</v>
      </c>
      <c r="B6">
        <f>ROUND(AVERAGEIFS(RawData!K:K, RawData!A:A, Summary!A6, RawData!B:B, "Unemployment*"), 1)</f>
        <v>18.2</v>
      </c>
      <c r="C6">
        <f>ROUND(AVERAGEIFS(RawData!K:K, RawData!A:A, Summary!A6, RawData!B:B, "Individuals*"), 1)</f>
        <v>28.8</v>
      </c>
    </row>
    <row r="7" spans="1:3" x14ac:dyDescent="0.3">
      <c r="A7" t="s">
        <v>32</v>
      </c>
      <c r="B7">
        <f>ROUND(AVERAGEIFS(RawData!K:K, RawData!A:A, Summary!A7, RawData!B:B, "Unemployment*"), 1)</f>
        <v>5.4</v>
      </c>
      <c r="C7">
        <f>ROUND(AVERAGEIFS(RawData!K:K, RawData!A:A, Summary!A7, RawData!B:B, "Individuals*"), 1)</f>
        <v>70.7</v>
      </c>
    </row>
    <row r="8" spans="1:3" x14ac:dyDescent="0.3">
      <c r="A8" t="s">
        <v>63</v>
      </c>
      <c r="B8">
        <f>ROUND(AVERAGEIFS(RawData!K:K, RawData!A:A, Summary!A8, RawData!B:B, "Unemployment*"), 1)</f>
        <v>17.2</v>
      </c>
      <c r="C8">
        <f>ROUND(AVERAGEIFS(RawData!K:K, RawData!A:A, Summary!A8, RawData!B:B, "Individuals*"), 1)</f>
        <v>74</v>
      </c>
    </row>
    <row r="9" spans="1:3" x14ac:dyDescent="0.3">
      <c r="A9" t="s">
        <v>48</v>
      </c>
      <c r="B9">
        <f>ROUND(AVERAGEIFS(RawData!K:K, RawData!A:A, Summary!A9, RawData!B:B, "Unemployment*"), 1)</f>
        <v>2.2999999999999998</v>
      </c>
      <c r="C9">
        <f>ROUND(AVERAGEIFS(RawData!K:K, RawData!A:A, Summary!A9, RawData!B:B, "Individuals*"), 1)</f>
        <v>28.4</v>
      </c>
    </row>
    <row r="10" spans="1:3" x14ac:dyDescent="0.3">
      <c r="A10" t="s">
        <v>6</v>
      </c>
      <c r="B10">
        <f>ROUND(AVERAGEIFS(RawData!K:K, RawData!A:A, Summary!A10, RawData!B:B, "Unemployment*"), 1)</f>
        <v>5.5</v>
      </c>
      <c r="C10">
        <f>ROUND(AVERAGEIFS(RawData!K:K, RawData!A:A, Summary!A10, RawData!B:B, "Individuals*"), 1)</f>
        <v>20.3</v>
      </c>
    </row>
    <row r="11" spans="1:3" x14ac:dyDescent="0.3">
      <c r="A11" t="s">
        <v>8</v>
      </c>
      <c r="B11">
        <f>ROUND(AVERAGEIFS(RawData!K:K, RawData!A:A, Summary!A11, RawData!B:B, "Unemployment*"), 1)</f>
        <v>4.2</v>
      </c>
      <c r="C11">
        <f>ROUND(AVERAGEIFS(RawData!K:K, RawData!A:A, Summary!A11, RawData!B:B, "Individuals*"), 1)</f>
        <v>9.3000000000000007</v>
      </c>
    </row>
    <row r="12" spans="1:3" x14ac:dyDescent="0.3">
      <c r="A12" t="s">
        <v>19</v>
      </c>
      <c r="B12">
        <f>ROUND(AVERAGEIFS(RawData!K:K, RawData!A:A, Summary!A12, RawData!B:B, "Unemployment*"), 1)</f>
        <v>10</v>
      </c>
      <c r="C12">
        <f>ROUND(AVERAGEIFS(RawData!K:K, RawData!A:A, Summary!A12, RawData!B:B, "Individuals*"), 1)</f>
        <v>16.5</v>
      </c>
    </row>
    <row r="13" spans="1:3" x14ac:dyDescent="0.3">
      <c r="A13" t="s">
        <v>45</v>
      </c>
      <c r="B13">
        <f>ROUND(AVERAGEIFS(RawData!K:K, RawData!A:A, Summary!A13, RawData!B:B, "Unemployment*"), 1)</f>
        <v>3.9</v>
      </c>
      <c r="C13">
        <f>ROUND(AVERAGEIFS(RawData!K:K, RawData!A:A, Summary!A13, RawData!B:B, "Individuals*"), 1)</f>
        <v>59.2</v>
      </c>
    </row>
    <row r="14" spans="1:3" x14ac:dyDescent="0.3">
      <c r="A14" t="s">
        <v>58</v>
      </c>
      <c r="B14">
        <f>ROUND(AVERAGEIFS(RawData!K:K, RawData!A:A, Summary!A14, RawData!B:B, "Unemployment*"), 1)</f>
        <v>6.6</v>
      </c>
      <c r="C14">
        <f>ROUND(AVERAGEIFS(RawData!K:K, RawData!A:A, Summary!A14, RawData!B:B, "Individuals*"), 1)</f>
        <v>42.2</v>
      </c>
    </row>
    <row r="15" spans="1:3" x14ac:dyDescent="0.3">
      <c r="A15" t="s">
        <v>36</v>
      </c>
      <c r="B15">
        <f>ROUND(AVERAGEIFS(RawData!K:K, RawData!A:A, Summary!A15, RawData!B:B, "Unemployment*"), 1)</f>
        <v>4.2</v>
      </c>
      <c r="C15">
        <f>ROUND(AVERAGEIFS(RawData!K:K, RawData!A:A, Summary!A15, RawData!B:B, "Individuals*"), 1)</f>
        <v>40.700000000000003</v>
      </c>
    </row>
    <row r="18" spans="1:9" x14ac:dyDescent="0.3">
      <c r="A18">
        <v>2015</v>
      </c>
      <c r="B18">
        <v>2016</v>
      </c>
      <c r="C18">
        <v>2017</v>
      </c>
      <c r="D18">
        <v>2018</v>
      </c>
      <c r="E18">
        <v>2019</v>
      </c>
      <c r="F18">
        <v>2020</v>
      </c>
      <c r="G18">
        <v>2021</v>
      </c>
      <c r="H18">
        <v>2022</v>
      </c>
      <c r="I18">
        <v>2023</v>
      </c>
    </row>
    <row r="19" spans="1:9" x14ac:dyDescent="0.3">
      <c r="A19" s="1">
        <f>ROUND(AVERAGEIF(RawData!$B:$B, "Unemployment*", RawData!E:E), 1)</f>
        <v>9.1</v>
      </c>
      <c r="B19" s="1">
        <f>ROUND(AVERAGEIF(RawData!$B:$B, "Unemployment*", RawData!F:F), 1)</f>
        <v>8.6999999999999993</v>
      </c>
      <c r="C19" s="1">
        <f>ROUND(AVERAGEIF(RawData!$B:$B, "Unemployment*", RawData!G:G), 1)</f>
        <v>8.4</v>
      </c>
      <c r="D19" s="1">
        <f>ROUND(AVERAGEIF(RawData!$B:$B, "Unemployment*", RawData!H:H), 1)</f>
        <v>9</v>
      </c>
      <c r="E19" s="1">
        <f>ROUND(AVERAGEIF(RawData!$B:$B, "Unemployment*", RawData!I:I), 1)</f>
        <v>9</v>
      </c>
      <c r="F19" s="1">
        <f>ROUND(AVERAGEIF(RawData!$B:$B, "Unemployment*", RawData!J:J), 1)</f>
        <v>8.6</v>
      </c>
      <c r="G19" s="1">
        <f>ROUND(AVERAGEIF(RawData!$B:$B, "Unemployment*", RawData!K:K), 1)</f>
        <v>8.3000000000000007</v>
      </c>
      <c r="H19" s="1">
        <f>ROUND(AVERAGEIF(RawData!$B:$B, "Unemployment*", RawData!J:J), 1)</f>
        <v>8.6</v>
      </c>
      <c r="I19" s="1">
        <f>ROUND(AVERAGEIF(RawData!$B:$B, "Unemployment*", RawData!K:K), 1)</f>
        <v>8.3000000000000007</v>
      </c>
    </row>
  </sheetData>
  <conditionalFormatting sqref="A18 A1:A15 A20:A1048576">
    <cfRule type="duplicateValues" priority="1"/>
    <cfRule type="duplicateValues" priority="2"/>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5A590-F693-4EDF-9D0A-9687629565B9}">
  <dimension ref="A1:AK45"/>
  <sheetViews>
    <sheetView showGridLines="0" tabSelected="1" zoomScale="60" zoomScaleNormal="60" workbookViewId="0">
      <selection activeCell="AK3" sqref="A3:XFD3"/>
    </sheetView>
  </sheetViews>
  <sheetFormatPr defaultRowHeight="14.4" x14ac:dyDescent="0.3"/>
  <cols>
    <col min="1" max="1" width="39.5546875" customWidth="1"/>
    <col min="2" max="13" width="8.88671875" style="2"/>
    <col min="14" max="14" width="3.44140625" style="2" customWidth="1"/>
    <col min="15" max="18" width="8.88671875" style="2"/>
  </cols>
  <sheetData>
    <row r="1" spans="1:37" ht="15" customHeight="1" x14ac:dyDescent="0.3">
      <c r="A1" s="16" t="s">
        <v>82</v>
      </c>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3"/>
    </row>
    <row r="2" spans="1:37" ht="15" customHeight="1" x14ac:dyDescent="0.3">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3"/>
    </row>
    <row r="3" spans="1:37" ht="28.8" customHeight="1" x14ac:dyDescent="0.3">
      <c r="A3" s="18" t="s">
        <v>83</v>
      </c>
      <c r="B3" s="18"/>
      <c r="C3" s="18"/>
      <c r="D3" s="18"/>
      <c r="E3" s="18"/>
      <c r="F3" s="18"/>
      <c r="G3" s="18"/>
      <c r="H3" s="18"/>
      <c r="I3" s="18"/>
      <c r="J3" s="18"/>
      <c r="K3" s="18"/>
      <c r="L3" s="18"/>
      <c r="M3" s="18"/>
      <c r="N3" s="7"/>
      <c r="O3" s="15"/>
      <c r="P3" s="15" t="s">
        <v>85</v>
      </c>
      <c r="Q3" s="15"/>
      <c r="R3" s="15"/>
      <c r="S3" s="15"/>
      <c r="T3" s="15"/>
      <c r="U3" s="15"/>
      <c r="V3" s="15"/>
      <c r="W3" s="15"/>
      <c r="X3" s="15"/>
      <c r="Y3" s="15"/>
      <c r="Z3" s="15"/>
      <c r="AA3" s="15"/>
      <c r="AB3" s="14"/>
      <c r="AC3" s="14"/>
      <c r="AD3" s="14"/>
      <c r="AE3" s="14"/>
      <c r="AF3" s="14"/>
      <c r="AG3" s="14"/>
      <c r="AH3" s="14"/>
      <c r="AI3" s="14"/>
      <c r="AJ3" s="14"/>
      <c r="AK3" s="13"/>
    </row>
    <row r="4" spans="1:37" ht="18" x14ac:dyDescent="0.35">
      <c r="A4" s="10" t="s">
        <v>73</v>
      </c>
      <c r="N4" s="7"/>
      <c r="O4" s="14"/>
      <c r="P4" s="14"/>
      <c r="Q4" s="14"/>
      <c r="R4" s="14"/>
      <c r="S4" s="14"/>
      <c r="T4" s="14"/>
      <c r="U4" s="14"/>
      <c r="V4" s="14"/>
      <c r="W4" s="14"/>
      <c r="X4" s="14"/>
      <c r="Y4" s="14"/>
      <c r="Z4" s="14"/>
      <c r="AA4" s="14"/>
      <c r="AB4" s="14"/>
      <c r="AC4" s="14"/>
      <c r="AD4" s="14"/>
      <c r="AE4" s="14"/>
      <c r="AF4" s="14"/>
      <c r="AG4" s="14"/>
      <c r="AH4" s="14"/>
      <c r="AI4" s="14"/>
      <c r="AJ4" s="14"/>
      <c r="AK4" s="13"/>
    </row>
    <row r="5" spans="1:37" ht="15.6" x14ac:dyDescent="0.3">
      <c r="A5" s="8" t="str">
        <f>ROUND(AVERAGE(Summary!B2:B15), 1)&amp;"%"</f>
        <v>8.3%</v>
      </c>
      <c r="N5" s="7"/>
      <c r="AK5" s="13"/>
    </row>
    <row r="6" spans="1:37" ht="15.6" x14ac:dyDescent="0.3">
      <c r="A6" s="9"/>
      <c r="N6" s="7"/>
      <c r="AK6" s="13"/>
    </row>
    <row r="7" spans="1:37" ht="18" x14ac:dyDescent="0.35">
      <c r="A7" s="11" t="s">
        <v>74</v>
      </c>
      <c r="N7" s="7"/>
      <c r="AK7" s="13"/>
    </row>
    <row r="8" spans="1:37" ht="15.6" x14ac:dyDescent="0.3">
      <c r="A8" s="12" t="str">
        <f>ROUND(AVERAGE(Summary!C2:C15), 1)&amp;"%"</f>
        <v>35.7%</v>
      </c>
      <c r="N8" s="7"/>
      <c r="AK8" s="13"/>
    </row>
    <row r="9" spans="1:37" ht="15.6" x14ac:dyDescent="0.3">
      <c r="A9" s="9"/>
      <c r="N9" s="7"/>
      <c r="AK9" s="13"/>
    </row>
    <row r="10" spans="1:37" ht="18" x14ac:dyDescent="0.35">
      <c r="A10" s="10" t="s">
        <v>75</v>
      </c>
      <c r="N10" s="7"/>
      <c r="AK10" s="13"/>
    </row>
    <row r="11" spans="1:37" ht="15.6" x14ac:dyDescent="0.3">
      <c r="A11" s="8" t="str">
        <f>INDEX(Summary!A2:A15, MATCH(MAX(Summary!B2:B15), Summary!B2:B15, 0))&amp;" ("&amp;ROUND(MAX(Summary!B2:B15), 1)&amp;"%)"</f>
        <v>Rwanda (18.2%)</v>
      </c>
      <c r="N11" s="7"/>
      <c r="AK11" s="13"/>
    </row>
    <row r="12" spans="1:37" ht="15.6" x14ac:dyDescent="0.3">
      <c r="A12" s="6"/>
      <c r="N12" s="7"/>
      <c r="AK12" s="13"/>
    </row>
    <row r="13" spans="1:37" ht="15.6" x14ac:dyDescent="0.3">
      <c r="A13" s="6"/>
      <c r="N13" s="7"/>
      <c r="AK13" s="13"/>
    </row>
    <row r="14" spans="1:37" ht="15.6" x14ac:dyDescent="0.3">
      <c r="A14" s="6"/>
      <c r="N14" s="7"/>
      <c r="AK14" s="13"/>
    </row>
    <row r="15" spans="1:37" ht="15.6" x14ac:dyDescent="0.3">
      <c r="A15" s="6"/>
      <c r="N15" s="7"/>
      <c r="AK15" s="13"/>
    </row>
    <row r="16" spans="1:37" ht="15.6" x14ac:dyDescent="0.3">
      <c r="A16" s="6"/>
      <c r="N16" s="7"/>
      <c r="AK16" s="13"/>
    </row>
    <row r="17" spans="1:37" ht="15.6" x14ac:dyDescent="0.3">
      <c r="A17" s="6"/>
      <c r="N17" s="7"/>
      <c r="AK17" s="13"/>
    </row>
    <row r="18" spans="1:37" ht="20.399999999999999" customHeight="1" x14ac:dyDescent="0.3">
      <c r="A18" s="17" t="s">
        <v>84</v>
      </c>
      <c r="B18" s="17"/>
      <c r="C18" s="17"/>
      <c r="D18" s="17"/>
      <c r="E18" s="17"/>
      <c r="F18" s="17"/>
      <c r="G18" s="17"/>
      <c r="H18" s="17"/>
      <c r="I18" s="17"/>
      <c r="J18" s="17"/>
      <c r="K18" s="17"/>
      <c r="L18" s="17"/>
      <c r="M18" s="17"/>
      <c r="N18" s="7"/>
      <c r="AK18" s="13"/>
    </row>
    <row r="19" spans="1:37" ht="20.399999999999999" customHeight="1" x14ac:dyDescent="0.3">
      <c r="A19" s="17"/>
      <c r="B19" s="17"/>
      <c r="C19" s="17"/>
      <c r="D19" s="17"/>
      <c r="E19" s="17"/>
      <c r="F19" s="17"/>
      <c r="G19" s="17"/>
      <c r="H19" s="17"/>
      <c r="I19" s="17"/>
      <c r="J19" s="17"/>
      <c r="K19" s="17"/>
      <c r="L19" s="17"/>
      <c r="M19" s="17"/>
      <c r="N19" s="7"/>
      <c r="AK19" s="13"/>
    </row>
    <row r="20" spans="1:37" x14ac:dyDescent="0.3">
      <c r="A20" s="2"/>
      <c r="N20" s="7"/>
      <c r="AK20" s="13"/>
    </row>
    <row r="21" spans="1:37" x14ac:dyDescent="0.3">
      <c r="A21" s="2"/>
      <c r="N21" s="7"/>
      <c r="AK21" s="13"/>
    </row>
    <row r="22" spans="1:37" x14ac:dyDescent="0.3">
      <c r="A22" s="2"/>
      <c r="N22" s="7"/>
      <c r="AK22" s="13"/>
    </row>
    <row r="23" spans="1:37" x14ac:dyDescent="0.3">
      <c r="A23" s="2"/>
      <c r="N23" s="7"/>
      <c r="AK23" s="13"/>
    </row>
    <row r="24" spans="1:37" x14ac:dyDescent="0.3">
      <c r="A24" s="2"/>
      <c r="N24" s="7"/>
      <c r="AK24" s="13"/>
    </row>
    <row r="25" spans="1:37" x14ac:dyDescent="0.3">
      <c r="A25" s="2"/>
      <c r="N25" s="7"/>
      <c r="AK25" s="13"/>
    </row>
    <row r="26" spans="1:37" x14ac:dyDescent="0.3">
      <c r="A26" s="2"/>
      <c r="N26" s="7"/>
      <c r="AK26" s="13"/>
    </row>
    <row r="27" spans="1:37" x14ac:dyDescent="0.3">
      <c r="A27" s="2"/>
      <c r="N27" s="7"/>
      <c r="AK27" s="13"/>
    </row>
    <row r="28" spans="1:37" x14ac:dyDescent="0.3">
      <c r="A28" s="2"/>
      <c r="N28" s="7"/>
      <c r="AK28" s="13"/>
    </row>
    <row r="29" spans="1:37" x14ac:dyDescent="0.3">
      <c r="A29" s="2"/>
      <c r="N29" s="7"/>
      <c r="AK29" s="13"/>
    </row>
    <row r="30" spans="1:37" x14ac:dyDescent="0.3">
      <c r="A30" s="2"/>
      <c r="N30" s="7"/>
      <c r="AK30" s="13"/>
    </row>
    <row r="31" spans="1:37" x14ac:dyDescent="0.3">
      <c r="A31" s="2"/>
      <c r="N31" s="7"/>
      <c r="AK31" s="13"/>
    </row>
    <row r="32" spans="1:37" x14ac:dyDescent="0.3">
      <c r="N32" s="7"/>
      <c r="AK32" s="13"/>
    </row>
    <row r="33" spans="1:37" x14ac:dyDescent="0.3">
      <c r="N33" s="7"/>
      <c r="AK33" s="13"/>
    </row>
    <row r="34" spans="1:37" x14ac:dyDescent="0.3">
      <c r="N34" s="7"/>
      <c r="AK34" s="13"/>
    </row>
    <row r="35" spans="1:37" x14ac:dyDescent="0.3">
      <c r="N35" s="7"/>
      <c r="AK35" s="13"/>
    </row>
    <row r="36" spans="1:37" x14ac:dyDescent="0.3">
      <c r="N36" s="7"/>
      <c r="AK36" s="13"/>
    </row>
    <row r="37" spans="1:37" x14ac:dyDescent="0.3">
      <c r="N37" s="7"/>
      <c r="AK37" s="13"/>
    </row>
    <row r="38" spans="1:37" x14ac:dyDescent="0.3">
      <c r="N38" s="7"/>
      <c r="AK38" s="13"/>
    </row>
    <row r="39" spans="1:37" x14ac:dyDescent="0.3">
      <c r="N39" s="7"/>
      <c r="AK39" s="13"/>
    </row>
    <row r="40" spans="1:37" x14ac:dyDescent="0.3">
      <c r="N40" s="7"/>
      <c r="AK40" s="13"/>
    </row>
    <row r="41" spans="1:37" x14ac:dyDescent="0.3">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row>
    <row r="42" spans="1:37" x14ac:dyDescent="0.3">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row>
    <row r="43" spans="1:37" x14ac:dyDescent="0.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row>
    <row r="44" spans="1:37" x14ac:dyDescent="0.3">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row>
    <row r="45" spans="1:37" x14ac:dyDescent="0.3">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row>
  </sheetData>
  <mergeCells count="3">
    <mergeCell ref="A18:M19"/>
    <mergeCell ref="A3:M3"/>
    <mergeCell ref="A1:AJ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5"/>
  <sheetViews>
    <sheetView topLeftCell="M1" workbookViewId="0">
      <selection activeCell="B15" sqref="B15"/>
    </sheetView>
  </sheetViews>
  <sheetFormatPr defaultRowHeight="14.4" x14ac:dyDescent="0.3"/>
  <cols>
    <col min="1" max="1" width="15.77734375" customWidth="1"/>
    <col min="2" max="16" width="50.77734375" style="2" customWidth="1"/>
    <col min="17" max="20" width="8.88671875" style="2"/>
  </cols>
  <sheetData>
    <row r="1" spans="1:16" x14ac:dyDescent="0.3">
      <c r="A1" t="s">
        <v>12</v>
      </c>
      <c r="B1" s="2" t="s">
        <v>35</v>
      </c>
      <c r="C1" s="2" t="s">
        <v>65</v>
      </c>
      <c r="D1" s="2" t="s">
        <v>46</v>
      </c>
      <c r="E1" s="2" t="s">
        <v>55</v>
      </c>
      <c r="F1" s="2" t="s">
        <v>41</v>
      </c>
      <c r="G1" s="2" t="s">
        <v>17</v>
      </c>
      <c r="H1" s="2" t="s">
        <v>59</v>
      </c>
      <c r="I1" s="2" t="s">
        <v>47</v>
      </c>
      <c r="J1" s="2" t="s">
        <v>24</v>
      </c>
      <c r="K1" s="2" t="s">
        <v>4</v>
      </c>
      <c r="L1" s="2" t="s">
        <v>51</v>
      </c>
      <c r="M1" s="2" t="s">
        <v>0</v>
      </c>
      <c r="N1" s="2" t="s">
        <v>31</v>
      </c>
      <c r="O1" s="2" t="s">
        <v>60</v>
      </c>
      <c r="P1" s="2" t="s">
        <v>54</v>
      </c>
    </row>
    <row r="2" spans="1:16" x14ac:dyDescent="0.3">
      <c r="A2" t="s">
        <v>57</v>
      </c>
      <c r="B2" s="2" t="s">
        <v>40</v>
      </c>
      <c r="C2" s="2" t="s">
        <v>5</v>
      </c>
      <c r="D2" s="2" t="s">
        <v>49</v>
      </c>
      <c r="E2" s="2" t="s">
        <v>25</v>
      </c>
      <c r="F2" s="2" t="s">
        <v>7</v>
      </c>
      <c r="G2" s="2" t="s">
        <v>33</v>
      </c>
      <c r="H2" s="2" t="s">
        <v>68</v>
      </c>
      <c r="I2" s="2" t="s">
        <v>18</v>
      </c>
      <c r="J2" s="2" t="s">
        <v>37</v>
      </c>
      <c r="K2" s="2" t="s">
        <v>14</v>
      </c>
      <c r="L2" s="2" t="s">
        <v>43</v>
      </c>
      <c r="M2" s="2" t="s">
        <v>27</v>
      </c>
      <c r="N2" s="2" t="s">
        <v>2</v>
      </c>
      <c r="O2" s="2" t="s">
        <v>28</v>
      </c>
      <c r="P2" s="2" t="s">
        <v>61</v>
      </c>
    </row>
    <row r="3" spans="1:16" x14ac:dyDescent="0.3">
      <c r="A3" t="s">
        <v>21</v>
      </c>
      <c r="B3" s="2" t="s">
        <v>40</v>
      </c>
      <c r="C3" s="2" t="s">
        <v>1</v>
      </c>
      <c r="D3" s="2" t="s">
        <v>15</v>
      </c>
      <c r="E3" s="2" t="s">
        <v>66</v>
      </c>
      <c r="F3" s="2" t="s">
        <v>52</v>
      </c>
      <c r="G3" s="2" t="s">
        <v>33</v>
      </c>
      <c r="H3" s="2" t="s">
        <v>67</v>
      </c>
      <c r="I3" s="2" t="s">
        <v>18</v>
      </c>
      <c r="J3" s="2" t="s">
        <v>42</v>
      </c>
      <c r="K3" s="2" t="s">
        <v>14</v>
      </c>
      <c r="L3" s="2" t="s">
        <v>30</v>
      </c>
      <c r="M3" s="2" t="s">
        <v>3</v>
      </c>
      <c r="N3" s="2" t="s">
        <v>64</v>
      </c>
      <c r="O3" s="2" t="s">
        <v>9</v>
      </c>
      <c r="P3" s="2" t="s">
        <v>61</v>
      </c>
    </row>
    <row r="9" spans="1:16" x14ac:dyDescent="0.3">
      <c r="A9" s="2"/>
    </row>
    <row r="10" spans="1:16" x14ac:dyDescent="0.3">
      <c r="A10" s="2"/>
    </row>
    <row r="11" spans="1:16" x14ac:dyDescent="0.3">
      <c r="A11" s="2"/>
    </row>
    <row r="12" spans="1:16" x14ac:dyDescent="0.3">
      <c r="A12" s="2"/>
    </row>
    <row r="13" spans="1:16" x14ac:dyDescent="0.3">
      <c r="A13" s="2"/>
    </row>
    <row r="14" spans="1:16" x14ac:dyDescent="0.3">
      <c r="A14" s="2"/>
    </row>
    <row r="15" spans="1:16" x14ac:dyDescent="0.3">
      <c r="A15" s="2"/>
    </row>
    <row r="16" spans="1:16" x14ac:dyDescent="0.3">
      <c r="A16" s="2"/>
    </row>
    <row r="17" spans="1:1" x14ac:dyDescent="0.3">
      <c r="A17" s="2"/>
    </row>
    <row r="18" spans="1:1" x14ac:dyDescent="0.3">
      <c r="A18" s="2"/>
    </row>
    <row r="19" spans="1:1" x14ac:dyDescent="0.3">
      <c r="A19" s="2"/>
    </row>
    <row r="20" spans="1:1" x14ac:dyDescent="0.3">
      <c r="A20" s="2"/>
    </row>
    <row r="21" spans="1:1" x14ac:dyDescent="0.3">
      <c r="A21" s="2"/>
    </row>
    <row r="22" spans="1:1" x14ac:dyDescent="0.3">
      <c r="A22" s="2"/>
    </row>
    <row r="23" spans="1:1" x14ac:dyDescent="0.3">
      <c r="A23" s="2"/>
    </row>
    <row r="24" spans="1:1" x14ac:dyDescent="0.3">
      <c r="A24" s="2"/>
    </row>
    <row r="25" spans="1:1" x14ac:dyDescent="0.3">
      <c r="A25"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5BC5778-B8E9-4A9A-9787-D786B50832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RawData</vt:lpstr>
      <vt:lpstr>MasterCharts</vt:lpstr>
      <vt:lpstr>PivotAnalysis</vt:lpstr>
      <vt:lpstr>Summary</vt:lpstr>
      <vt:lpstr>Dashboard</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 Philip Nyanjahia</dc:creator>
  <cp:lastModifiedBy>Andre Philip Nyanjahia</cp:lastModifiedBy>
  <dcterms:created xsi:type="dcterms:W3CDTF">2026-09-16T01:37:47Z</dcterms:created>
  <dcterms:modified xsi:type="dcterms:W3CDTF">2026-09-16T08:02:23Z</dcterms:modified>
</cp:coreProperties>
</file>